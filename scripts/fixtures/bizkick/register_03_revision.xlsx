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4452d21fd946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a7c9726022be4b62"/>
    <x:sheet xmlns:r="http://schemas.openxmlformats.org/officeDocument/2006/relationships" name="NUMBER DESK" sheetId="2" r:id="R86aa67c6d4f447e3"/>
    <x:sheet xmlns:r="http://schemas.openxmlformats.org/officeDocument/2006/relationships" name="TRANSACTION REGISTER" sheetId="3" r:id="R941c12d79ebf4968"/>
    <x:sheet xmlns:r="http://schemas.openxmlformats.org/officeDocument/2006/relationships" name="SEARCH" sheetId="4" r:id="R7de58e3db915404d"/>
    <x:sheet xmlns:r="http://schemas.openxmlformats.org/officeDocument/2006/relationships" name="DASHBOARD" sheetId="5" r:id="R802f1305f3fb4e34"/>
    <x:sheet xmlns:r="http://schemas.openxmlformats.org/officeDocument/2006/relationships" name="LISTS" sheetId="6" r:id="R9b847cae853f4138"/>
    <x:sheet xmlns:r="http://schemas.openxmlformats.org/officeDocument/2006/relationships" name="REGISTER CONTROL LOG" sheetId="7" r:id="Re807e98c7d304e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yyyy-mm-dd"/>
    <x:numFmt numFmtId="202" formatCode="yyyy-mm-dd hh:mm"/>
    <x:numFmt numFmtId="203" formatCode="#,##0.00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6343F"/>
      <x:name val="Carlito"/>
    </x:font>
    <x:font>
      <x:b/>
      <x:sz val="11"/>
      <x:color rgb="FFFFFFFF"/>
      <x:name val="Carlito"/>
    </x:font>
    <x:font>
      <x:sz val="11"/>
      <x:color rgb="FF26343F"/>
      <x:name val="Carlito"/>
    </x:font>
    <x:font>
      <x:b/>
      <x:sz val="11"/>
      <x:color rgb="FF26343F"/>
      <x:name val="Carlito"/>
    </x:font>
    <x:font>
      <x:sz val="9"/>
      <x:color rgb="FF26343F"/>
      <x:name val="Carlito"/>
    </x:font>
    <x:font>
      <x:b/>
      <x:sz val="11"/>
      <x:color rgb="FF16324F"/>
      <x:name val="Carlito"/>
    </x:font>
    <x:font>
      <x:b/>
      <x:sz val="16"/>
      <x:color rgb="FF16324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EEF5"/>
      </x:patternFill>
    </x:fill>
    <x:fill>
      <x:patternFill patternType="solid">
        <x:fgColor rgb="FFF3F7F8"/>
      </x:patternFill>
    </x:fill>
    <x:fill>
      <x:patternFill patternType="solid">
        <x:fgColor rgb="FFFFF7DD"/>
      </x:patternFill>
    </x:fill>
    <x:fill>
      <x:patternFill patternType="solid">
        <x:fgColor rgb="FF167D8D"/>
      </x:patternFill>
    </x:fill>
  </x:fills>
  <x:borders count="14">
    <x:border/>
    <x:border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bottom/>
    </x:border>
    <x:border>
      <x:left/>
      <x:right/>
      <x:top/>
    </x:border>
    <x:border>
      <x:left/>
      <x:right/>
    </x:border>
    <x:border>
      <x:left/>
      <x:right/>
      <x:bottom/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10" xfId="0" applyNumberFormat="1" applyFont="1" applyFill="1" applyBorder="1"/>
    <x:xf numFmtId="0" fontId="6" fillId="0" borderId="0" xfId="0" applyNumberFormat="1" applyFont="1" applyFill="1" applyBorder="1" applyAlignment="1">
      <x:alignment wrapText="0"/>
    </x:xf>
    <x:xf numFmtId="0" fontId="6" fillId="0" borderId="10" xfId="0" applyNumberFormat="1" applyFont="1" applyFill="1" applyBorder="1" applyAlignment="1">
      <x:alignment wrapText="0"/>
    </x:xf>
    <x:xf numFmtId="200" fontId="6" fillId="0" borderId="0" xfId="0" applyNumberFormat="1" applyFont="1" applyFill="1" applyBorder="1" applyAlignment="1">
      <x:alignment wrapText="0"/>
    </x:xf>
    <x:xf numFmtId="200" fontId="6" fillId="0" borderId="10" xfId="0" applyNumberFormat="1" applyFont="1" applyFill="1" applyBorder="1" applyAlignment="1">
      <x:alignment wrapText="0"/>
    </x:xf>
    <x:xf numFmtId="201" fontId="6" fillId="0" borderId="0" xfId="0" applyNumberFormat="1" applyFont="1" applyFill="1" applyBorder="1" applyAlignment="1">
      <x:alignment wrapText="0"/>
    </x:xf>
    <x:xf numFmtId="201" fontId="6" fillId="0" borderId="10" xfId="0" applyNumberFormat="1" applyFont="1" applyFill="1" applyBorder="1" applyAlignment="1">
      <x:alignment wrapText="0"/>
    </x:xf>
    <x:xf numFmtId="202" fontId="6" fillId="0" borderId="0" xfId="0" applyNumberFormat="1" applyFont="1" applyFill="1" applyBorder="1" applyAlignment="1">
      <x:alignment wrapText="0"/>
    </x:xf>
    <x:xf numFmtId="202" fontId="6" fillId="0" borderId="10" xfId="0" applyNumberFormat="1" applyFont="1" applyFill="1" applyBorder="1" applyAlignment="1">
      <x:alignment wrapText="0"/>
    </x:xf>
    <x:xf numFmtId="203" fontId="6" fillId="0" borderId="0" xfId="0" applyNumberFormat="1" applyFont="1" applyFill="1" applyBorder="1" applyAlignment="1">
      <x:alignment wrapText="0"/>
    </x:xf>
    <x:xf numFmtId="203" fontId="6" fillId="0" borderId="10" xfId="0" applyNumberFormat="1" applyFont="1" applyFill="1" applyBorder="1" applyAlignment="1">
      <x:alignment wrapText="0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4" fillId="4" borderId="11" xfId="0" applyNumberFormat="1" applyFont="1" applyFill="1" applyBorder="1"/>
    <x:xf numFmtId="0" fontId="4" fillId="4" borderId="12" xfId="0" applyNumberFormat="1" applyFont="1" applyFill="1" applyBorder="1"/>
    <x:xf numFmtId="0" fontId="4" fillId="4" borderId="13" xfId="0" applyNumberFormat="1" applyFont="1" applyFill="1" applyBorder="1"/>
    <x:xf numFmtId="0" fontId="4" fillId="4" borderId="11" xfId="0" applyNumberFormat="1" applyFont="1" applyFill="1" applyBorder="1" applyAlignment="1">
      <x:alignment wrapText="1"/>
    </x:xf>
    <x:xf numFmtId="0" fontId="4" fillId="4" borderId="12" xfId="0" applyNumberFormat="1" applyFont="1" applyFill="1" applyBorder="1" applyAlignment="1">
      <x:alignment wrapText="1"/>
    </x:xf>
    <x:xf numFmtId="0" fontId="4" fillId="4" borderId="13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horizontal="center"/>
    </x:xf>
    <x:xf numFmtId="203" fontId="4" fillId="4" borderId="3" xfId="0" applyNumberFormat="1" applyFont="1" applyFill="1" applyBorder="1" applyAlignment="1">
      <x:alignment wrapText="1"/>
    </x:xf>
    <x:xf numFmtId="203" fontId="4" fillId="4" borderId="0" xfId="0" applyNumberFormat="1" applyFont="1" applyFill="1" applyBorder="1" applyAlignment="1">
      <x:alignment wrapText="1"/>
    </x:xf>
    <x:xf numFmtId="203" fontId="4" fillId="4" borderId="8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1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FFFFFF"/>
      </x:font>
      <x:fill>
        <x:patternFill patternType="solid">
          <x:bgColor rgb="FFC94C4C"/>
        </x:patternFill>
      </x:fill>
    </x:dxf>
    <x:dxf>
      <x:font>
        <x:b/>
        <x:color rgb="FFFFFFFF"/>
      </x:font>
      <x:fill>
        <x:patternFill patternType="solid">
          <x:bgColor rgb="FFC94C4C"/>
        </x:patternFill>
      </x:fill>
    </x:dxf>
    <x:dxf>
      <x:font>
        <x:b/>
      </x:font>
      <x:fill>
        <x:patternFill patternType="solid">
          <x:bgColor rgb="FFE5A63B"/>
        </x:patternFill>
      </x:fill>
    </x:dxf>
    <x:dxf>
      <x:font>
        <x:color rgb="FF2C7A5A"/>
      </x:font>
      <x:fill>
        <x:patternFill patternType="solid">
          <x:bgColor rgb="FFDFF1E8"/>
        </x:patternFill>
      </x:fill>
    </x:dxf>
    <x:dxf>
      <x:font>
        <x:b/>
      </x:font>
      <x:fill>
        <x:patternFill patternType="solid">
          <x:bgColor rgb="FFE5A63B"/>
        </x:patternFill>
      </x:fill>
    </x:dxf>
    <x:dxf>
      <x:font>
        <x:b/>
        <x:color rgb="FF2C7A5A"/>
      </x:font>
      <x:fill>
        <x:patternFill patternType="solid">
          <x:bgColor rgb="FFDFF1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7ddf92b6884ee5" /><Relationship Type="http://schemas.openxmlformats.org/officeDocument/2006/relationships/theme" Target="/xl/theme/theme1.xml" Id="Rb63c8fc7044648d7" /><Relationship Type="http://schemas.openxmlformats.org/officeDocument/2006/relationships/sharedStrings" Target="/xl/sharedStrings.xml" Id="Reec87fa840a24741" /><Relationship Type="http://schemas.openxmlformats.org/officeDocument/2006/relationships/worksheet" Target="/xl/worksheets/sheet1.xml" Id="Ra7c9726022be4b62" /><Relationship Type="http://schemas.openxmlformats.org/officeDocument/2006/relationships/worksheet" Target="/xl/worksheets/sheet2.xml" Id="R86aa67c6d4f447e3" /><Relationship Type="http://schemas.openxmlformats.org/officeDocument/2006/relationships/worksheet" Target="/xl/worksheets/sheet3.xml" Id="R941c12d79ebf4968" /><Relationship Type="http://schemas.openxmlformats.org/officeDocument/2006/relationships/worksheet" Target="/xl/worksheets/sheet4.xml" Id="R7de58e3db915404d" /><Relationship Type="http://schemas.openxmlformats.org/officeDocument/2006/relationships/worksheet" Target="/xl/worksheets/sheet5.xml" Id="R802f1305f3fb4e34" /><Relationship Type="http://schemas.openxmlformats.org/officeDocument/2006/relationships/worksheet" Target="/xl/worksheets/sheet6.xml" Id="R9b847cae853f4138" /><Relationship Type="http://schemas.openxmlformats.org/officeDocument/2006/relationships/worksheet" Target="/xl/worksheets/sheet7.xml" Id="Re807e98c7d304e9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e79c6c8218f409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Transactions by Status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'DASHBOARD'!$A$10:$A$21</c:f>
              <c:strCache>
                <c:ptCount val="0"/>
              </c:strCache>
            </c:strRef>
          </c:cat>
          <c:val>
            <c:numRef>
              <c:f>'DASHBOARD'!$B$10:$B$21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79c6c8218f409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izKickTransactions" displayName="BizKickTransactions" ref="A6:X506" headerRowCount="1">
  <x:autoFilter ref="A6:X506"/>
  <x:tableColumns count="24">
    <x:tableColumn id="1" name="Company Code"/>
    <x:tableColumn id="2" name="Document Type"/>
    <x:tableColumn id="3" name="Year"/>
    <x:tableColumn id="4" name="Sequence"/>
    <x:tableColumn id="5" name="Transaction ID"/>
    <x:tableColumn id="6" name="Revision"/>
    <x:tableColumn id="7" name="Date Reserved"/>
    <x:tableColumn id="8" name="Date Issued"/>
    <x:tableColumn id="9" name="Counterparty Type"/>
    <x:tableColumn id="10" name="Counterparty Name"/>
    <x:tableColumn id="11" name="Subject / Description"/>
    <x:tableColumn id="12" name="Amount"/>
    <x:tableColumn id="13" name="Currency"/>
    <x:tableColumn id="14" name="Status"/>
    <x:tableColumn id="15" name="Owner"/>
    <x:tableColumn id="16" name="Expiry / Due Date"/>
    <x:tableColumn id="17" name="Days to Expiry"/>
    <x:tableColumn id="18" name="Alert"/>
    <x:tableColumn id="19" name="Related Transaction ID"/>
    <x:tableColumn id="20" name="Original External Ref"/>
    <x:tableColumn id="21" name="File Link / Path"/>
    <x:tableColumn id="22" name="Last Updated"/>
    <x:tableColumn id="23" name="Remarks"/>
    <x:tableColumn id="24" name="Duplicate Check"/>
  </x:tableColumns>
  <x:tableStyleInfo name="TableStyleMedium2" showRowStripes="1"/>
</x:table>
</file>

<file path=xl/tables/table2.xml><?xml version="1.0" encoding="utf-8"?>
<x:table xmlns:x="http://schemas.openxmlformats.org/spreadsheetml/2006/main" id="2" name="BizKickRegisterControlLog" displayName="BizKickRegisterControlLog" ref="A4:H104" headerRowCount="1">
  <x:tableColumns count="8">
    <x:tableColumn id="1" name="Log ID"/>
    <x:tableColumn id="2" name="Date"/>
    <x:tableColumn id="3" name="Type"/>
    <x:tableColumn id="4" name="Description"/>
    <x:tableColumn id="5" name="Affected Range / IDs"/>
    <x:tableColumn id="6" name="Raised By"/>
    <x:tableColumn id="7" name="Approved By"/>
    <x:tableColumn id="8" name="Closure / Evide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0d84450255b64df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bf035b483d894e2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.xml" Id="Rd103cd54073349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5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8" customHeight="1">
      <x:c r="A1" s="3" t="str">
        <x:v>BizKick EDCS v1.01 — Smart Register Quick Guide</x:v>
      </x:c>
      <x:c r="B1" s="3" t="str">
        <x:v>BizKick EDCS v1.01 — Smart Register Quick Guide</x:v>
      </x:c>
      <x:c r="C1" s="3" t="str">
        <x:v>BizKick EDCS v1.01 — Smart Register Quick Guide</x:v>
      </x:c>
      <x:c r="D1" s="3" t="str">
        <x:v>BizKick EDCS v1.01 — Smart Register Quick Guide</x:v>
      </x:c>
      <x:c r="E1" s="3" t="str">
        <x:v>BizKick EDCS v1.01 — Smart Register Quick Guide</x:v>
      </x:c>
      <x:c r="F1" s="3" t="str">
        <x:v>BizKick EDCS v1.01 — Smart Register Quick Guide</x:v>
      </x:c>
      <x:c r="G1" s="3" t="str">
        <x:v>BizKick EDCS v1.01 — Smart Register Quick Guide</x:v>
      </x:c>
      <x:c r="H1" s="3" t="str">
        <x:v>BizKick EDCS v1.01 — Smart Register Quick Guide</x:v>
      </x:c>
    </x:row>
    <x:row r="2" ht="25" customHeight="1">
      <x:c r="A2" s="5" t="str">
        <x:v>Controlled semi-automation: Excel calculates and monitors; users still reserve and update records deliberately.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4">
      <x:c r="A4" s="55" t="str">
        <x:v>1. Reserve</x:v>
      </x:c>
      <x:c r="B4" s="51" t="str">
        <x:v>Open NUMBER DESK, select document type/year, then copy the suggested number into the next empty register row.</x:v>
      </x:c>
    </x:row>
    <x:row r="5">
      <x:c r="A5" s="55" t="str">
        <x:v>2. Register</x:v>
      </x:c>
      <x:c r="B5" s="52" t="str">
        <x:v>Complete counterparty, subject, owner and status immediately. The number is now reserved.</x:v>
      </x:c>
    </x:row>
    <x:row r="6">
      <x:c r="A6" s="55" t="str">
        <x:v>3. Create record</x:v>
      </x:c>
      <x:c r="B6" s="52" t="str">
        <x:v>Use the Transaction ID in the operational Word/Excel record and file name.</x:v>
      </x:c>
    </x:row>
    <x:row r="7">
      <x:c r="A7" s="55" t="str">
        <x:v>4. Link</x:v>
      </x:c>
      <x:c r="B7" s="52" t="str">
        <x:v>Paste the approved file path or SharePoint/OneDrive link in File Link / Path.</x:v>
      </x:c>
    </x:row>
    <x:row r="8">
      <x:c r="A8" s="55" t="str">
        <x:v>5. Update</x:v>
      </x:c>
      <x:c r="B8" s="52" t="str">
        <x:v>Change status, dates, amount, related ID and remarks as the transaction progresses.</x:v>
      </x:c>
    </x:row>
    <x:row r="9">
      <x:c r="A9" s="55" t="str">
        <x:v>6. Find</x:v>
      </x:c>
      <x:c r="B9" s="52" t="str">
        <x:v>Use SEARCH for names/subjects or use register table filters.</x:v>
      </x:c>
    </x:row>
    <x:row r="10">
      <x:c r="A10" s="55" t="str">
        <x:v>7. Control</x:v>
      </x:c>
      <x:c r="B10" s="53" t="str">
        <x:v>Never delete cancelled or superseded numbers. Resolve all duplicate and overdue alerts.</x:v>
      </x:c>
    </x:row>
    <x:row r="13">
      <x:c r="A13" s="6" t="str">
        <x:v>Important operating rules</x:v>
      </x:c>
      <x:c r="B13" s="6"/>
      <x:c r="C13" s="6"/>
      <x:c r="D13" s="6"/>
      <x:c r="E13" s="6"/>
      <x:c r="F13" s="6"/>
      <x:c r="G13" s="6"/>
      <x:c r="H13" s="6"/>
    </x:row>
    <x:row r="14">
      <x:c r="A14" s="21" t="str">
        <x:v>One central register supports search across all modules.</x:v>
      </x:c>
      <x:c r="B14" s="22"/>
      <x:c r="C14" s="22"/>
      <x:c r="D14" s="22"/>
      <x:c r="E14" s="22"/>
      <x:c r="F14" s="22"/>
      <x:c r="G14" s="22"/>
      <x:c r="H14" s="23"/>
    </x:row>
    <x:row r="15">
      <x:c r="A15" s="24" t="str">
        <x:v>The suggested number is not reserved until a user enters it in the register.</x:v>
      </x:c>
      <x:c r="B15" s="25"/>
      <x:c r="C15" s="25"/>
      <x:c r="D15" s="25"/>
      <x:c r="E15" s="25"/>
      <x:c r="F15" s="25"/>
      <x:c r="G15" s="25"/>
      <x:c r="H15" s="26"/>
    </x:row>
    <x:row r="16">
      <x:c r="A16" s="24" t="str">
        <x:v>For simultaneous multi-user operation, host the workbook on SharePoint/OneDrive and nominate one number controller—or upgrade to a SharePoint List/Power Automate workflow.</x:v>
      </x:c>
      <x:c r="B16" s="25"/>
      <x:c r="C16" s="25"/>
      <x:c r="D16" s="25"/>
      <x:c r="E16" s="25"/>
      <x:c r="F16" s="25"/>
      <x:c r="G16" s="25"/>
      <x:c r="H16" s="26"/>
    </x:row>
    <x:row r="17">
      <x:c r="A17" s="24" t="str">
        <x:v>Do not overwrite approved records. Use revision, credit, reversal, cancellation or linked replacement procedures.</x:v>
      </x:c>
      <x:c r="B17" s="25"/>
      <x:c r="C17" s="25"/>
      <x:c r="D17" s="25"/>
      <x:c r="E17" s="25"/>
      <x:c r="F17" s="25"/>
      <x:c r="G17" s="25"/>
      <x:c r="H17" s="26"/>
    </x:row>
    <x:row r="18">
      <x:c r="A18" s="24" t="str">
        <x:v>Supplier quotations retain the supplier's original reference in Original External Ref; the BizKick RFQ or comparison keeps its own ID.</x:v>
      </x:c>
      <x:c r="B18" s="25"/>
      <x:c r="C18" s="25"/>
      <x:c r="D18" s="25"/>
      <x:c r="E18" s="25"/>
      <x:c r="F18" s="25"/>
      <x:c r="G18" s="25"/>
      <x:c r="H18" s="26"/>
    </x:row>
    <x:row r="19">
      <x:c r="A19" s="24" t="str">
        <x:v>Search relies on accurate counterparty names, subject descriptions and external references.</x:v>
      </x:c>
      <x:c r="B19" s="25"/>
      <x:c r="C19" s="25"/>
      <x:c r="D19" s="25"/>
      <x:c r="E19" s="25"/>
      <x:c r="F19" s="25"/>
      <x:c r="G19" s="25"/>
      <x:c r="H19" s="26"/>
    </x:row>
    <x:row r="20">
      <x:c r="A20" s="27" t="str">
        <x:v>Product Master placeholders are replaced during client generation.</x:v>
      </x:c>
      <x:c r="B20" s="28"/>
      <x:c r="C20" s="28"/>
      <x:c r="D20" s="28"/>
      <x:c r="E20" s="28"/>
      <x:c r="F20" s="28"/>
      <x:c r="G20" s="28"/>
      <x:c r="H20" s="29"/>
    </x:row>
  </x:sheetData>
  <x:mergeCells>
    <x:mergeCell ref="A1:H1"/>
    <x:mergeCell ref="A2:X2"/>
    <x:mergeCell ref="A13:H13"/>
    <x:mergeCell ref="A14:H14"/>
    <x:mergeCell ref="A15:H15"/>
    <x:mergeCell ref="A16:H16"/>
    <x:mergeCell ref="A17:H17"/>
    <x:mergeCell ref="A18:H18"/>
    <x:mergeCell ref="A19:H19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8" customHeight="1">
      <x:c r="A1" s="3" t="str">
        <x:v>BizKick EDCS — Number Reservation Desk</x:v>
      </x:c>
      <x:c r="B1" s="3" t="str">
        <x:v>BizKick EDCS — Number Reservation Desk</x:v>
      </x:c>
      <x:c r="C1" s="3" t="str">
        <x:v>BizKick EDCS — Number Reservation Desk</x:v>
      </x:c>
      <x:c r="D1" s="3" t="str">
        <x:v>BizKick EDCS — Number Reservation Desk</x:v>
      </x:c>
      <x:c r="E1" s="3" t="str">
        <x:v>BizKick EDCS — Number Reservation Desk</x:v>
      </x:c>
      <x:c r="F1" s="3" t="str">
        <x:v>BizKick EDCS — Number Reservation Desk</x:v>
      </x:c>
      <x:c r="G1" s="3" t="str">
        <x:v>BizKick EDCS — Number Reservation Desk</x:v>
      </x:c>
      <x:c r="H1" s="3" t="str">
        <x:v>BizKick EDCS — Number Reservation Desk</x:v>
      </x:c>
    </x:row>
    <x:row r="2" ht="25" customHeight="1">
      <x:c r="A2" s="5" t="str">
        <x:v>Calculate the next number, then immediately reserve it by entering a row in TRANSACTION REGISTER.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4">
      <x:c r="A4" s="47" t="str">
        <x:v>Company Code</x:v>
      </x:c>
      <x:c r="B4" s="51" t="str">
        <x:v>NEX</x:v>
      </x:c>
    </x:row>
    <x:row r="5">
      <x:c r="A5" s="47" t="str">
        <x:v>Document Type</x:v>
      </x:c>
      <x:c r="B5" s="52" t="str">
        <x:v>QT</x:v>
      </x:c>
    </x:row>
    <x:row r="6">
      <x:c r="A6" s="47" t="str">
        <x:v>Year</x:v>
      </x:c>
      <x:c r="B6" s="52" t="n">
        <x:v>2026</x:v>
      </x:c>
    </x:row>
    <x:row r="7">
      <x:c r="A7" s="47" t="str">
        <x:v>Suggested Next Sequence</x:v>
      </x:c>
      <x:c r="B7" s="52" t="n">
        <x:f>IF(OR(B4="",B5="",B6=""),"",IFERROR(MAXIFS('TRANSACTION REGISTER'!$D$7:$D$506,'TRANSACTION REGISTER'!$A$7:$A$506,B4,'TRANSACTION REGISTER'!$B$7:$B$506,B5,'TRANSACTION REGISTER'!$C$7:$C$506,B6)+1,1))</x:f>
        <x:v>1</x:v>
      </x:c>
    </x:row>
    <x:row r="8">
      <x:c r="A8" s="47" t="str">
        <x:v>Suggested Transaction ID</x:v>
      </x:c>
      <x:c r="B8" s="52" t="str">
        <x:f>IF(OR(B4="",B5="",B6="",B7=""),"",B4&amp;"-"&amp;B5&amp;"-"&amp;TEXT(B6,"0000")&amp;"-"&amp;TEXT(B7,"0000"))</x:f>
        <x:v>NEX-QT-2026-0001</x:v>
      </x:c>
    </x:row>
    <x:row r="9">
      <x:c r="A9" s="47" t="str">
        <x:v>Reservation Status</x:v>
      </x:c>
      <x:c r="B9" s="52" t="str">
        <x:f>IF(B8="","INCOMPLETE",IF(COUNTIF('TRANSACTION REGISTER'!$E$7:$E$506,B8)&gt;0,"RESERVED","NOT YET RESERVED"))</x:f>
        <x:v>NOT YET RESERVED</x:v>
      </x:c>
    </x:row>
    <x:row r="10">
      <x:c r="A10" s="47" t="str">
        <x:v>Important</x:v>
      </x:c>
      <x:c r="B10" s="53" t="str">
        <x:v>The suggested number is not reserved until it is entered in the register.</x:v>
      </x:c>
    </x:row>
    <x:row r="13">
      <x:c r="A13" s="55" t="str">
        <x:v>Reservation procedure</x:v>
      </x:c>
      <x:c r="B13" s="55"/>
      <x:c r="C13" s="55"/>
      <x:c r="D13" s="55"/>
      <x:c r="E13" s="55"/>
      <x:c r="F13" s="55"/>
      <x:c r="G13" s="55"/>
      <x:c r="H13" s="55"/>
    </x:row>
    <x:row r="14">
      <x:c r="A14" s="21" t="str">
        <x:v>1</x:v>
      </x:c>
      <x:c r="B14" s="22" t="str">
        <x:v>Select the document type and year.</x:v>
      </x:c>
      <x:c r="C14" s="22"/>
      <x:c r="D14" s="22"/>
      <x:c r="E14" s="22"/>
      <x:c r="F14" s="22"/>
      <x:c r="G14" s="22"/>
      <x:c r="H14" s="23"/>
    </x:row>
    <x:row r="15">
      <x:c r="A15" s="24" t="str">
        <x:v>2</x:v>
      </x:c>
      <x:c r="B15" s="25" t="str">
        <x:v>Read the Suggested Transaction ID.</x:v>
      </x:c>
      <x:c r="C15" s="25"/>
      <x:c r="D15" s="25"/>
      <x:c r="E15" s="25"/>
      <x:c r="F15" s="25"/>
      <x:c r="G15" s="25"/>
      <x:c r="H15" s="26"/>
    </x:row>
    <x:row r="16">
      <x:c r="A16" s="24" t="str">
        <x:v>3</x:v>
      </x:c>
      <x:c r="B16" s="25" t="str">
        <x:v>Go to TRANSACTION REGISTER and use the next empty row.</x:v>
      </x:c>
      <x:c r="C16" s="25"/>
      <x:c r="D16" s="25"/>
      <x:c r="E16" s="25"/>
      <x:c r="F16" s="25"/>
      <x:c r="G16" s="25"/>
      <x:c r="H16" s="26"/>
    </x:row>
    <x:row r="17">
      <x:c r="A17" s="24" t="str">
        <x:v>4</x:v>
      </x:c>
      <x:c r="B17" s="25" t="str">
        <x:v>Enter company code, type, year and sequence exactly as shown.</x:v>
      </x:c>
      <x:c r="C17" s="25"/>
      <x:c r="D17" s="25"/>
      <x:c r="E17" s="25"/>
      <x:c r="F17" s="25"/>
      <x:c r="G17" s="25"/>
      <x:c r="H17" s="26"/>
    </x:row>
    <x:row r="18">
      <x:c r="A18" s="24" t="str">
        <x:v>5</x:v>
      </x:c>
      <x:c r="B18" s="25" t="str">
        <x:v>Complete counterparty, subject, owner and status = Reserved.</x:v>
      </x:c>
      <x:c r="C18" s="25"/>
      <x:c r="D18" s="25"/>
      <x:c r="E18" s="25"/>
      <x:c r="F18" s="25"/>
      <x:c r="G18" s="25"/>
      <x:c r="H18" s="26"/>
    </x:row>
    <x:row r="19">
      <x:c r="A19" s="24" t="str">
        <x:v>6</x:v>
      </x:c>
      <x:c r="B19" s="25" t="str">
        <x:v>Return here and confirm Reservation Status = RESERVED.</x:v>
      </x:c>
      <x:c r="C19" s="25"/>
      <x:c r="D19" s="25"/>
      <x:c r="E19" s="25"/>
      <x:c r="F19" s="25"/>
      <x:c r="G19" s="25"/>
      <x:c r="H19" s="26"/>
    </x:row>
    <x:row r="20">
      <x:c r="A20" s="27" t="str">
        <x:v>7</x:v>
      </x:c>
      <x:c r="B20" s="28" t="str">
        <x:v>Never delete a cancelled number; change its status to Cancelled and record the reason.</x:v>
      </x:c>
      <x:c r="C20" s="28"/>
      <x:c r="D20" s="28"/>
      <x:c r="E20" s="28"/>
      <x:c r="F20" s="28"/>
      <x:c r="G20" s="28"/>
      <x:c r="H20" s="29"/>
    </x:row>
  </x:sheetData>
  <x:mergeCells>
    <x:mergeCell ref="A1:H1"/>
    <x:mergeCell ref="A2:X2"/>
    <x:mergeCell ref="A13:H13"/>
    <x:mergeCell ref="B14:H14"/>
    <x:mergeCell ref="B15:H15"/>
    <x:mergeCell ref="B16:H16"/>
    <x:mergeCell ref="B17:H17"/>
    <x:mergeCell ref="B18:H18"/>
    <x:mergeCell ref="B19:H19"/>
    <x:mergeCell ref="B20:H20"/>
  </x:mergeCells>
  <x:conditionalFormatting sqref="B9:B9">
    <x:cfRule type="containsText" dxfId="4" priority="1" operator="containsText" text="NOT YET"/>
    <x:cfRule type="containsText" dxfId="5" priority="2" operator="containsText" text="RESERVED"/>
  </x:conditionalFormatting>
  <x:dataValidations count="1">
    <x:dataValidation type="list" sqref="B5">
      <x:formula1>LISTS!$A$5:$A$36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9" hidden="0" customWidth="1"/>
    <x:col min="4" max="4" width="10" hidden="0" customWidth="1"/>
    <x:col min="5" max="5" width="25" hidden="0" customWidth="1"/>
    <x:col min="6" max="6" width="9" hidden="0" customWidth="1"/>
    <x:col min="7" max="7" width="14" hidden="0" customWidth="1"/>
    <x:col min="8" max="8" width="14" hidden="0" customWidth="1"/>
    <x:col min="9" max="9" width="18" hidden="0" customWidth="1"/>
    <x:col min="10" max="10" width="26" hidden="0" customWidth="1"/>
    <x:col min="11" max="11" width="38" hidden="0" customWidth="1"/>
    <x:col min="12" max="12" width="14" hidden="0" customWidth="1"/>
    <x:col min="13" max="13" width="11" hidden="0" customWidth="1"/>
    <x:col min="14" max="14" width="16" hidden="0" customWidth="1"/>
    <x:col min="15" max="15" width="18" hidden="0" customWidth="1"/>
    <x:col min="16" max="16" width="16" hidden="0" customWidth="1"/>
    <x:col min="17" max="17" width="13" hidden="0" customWidth="1"/>
    <x:col min="18" max="18" width="18" hidden="0" customWidth="1"/>
    <x:col min="19" max="19" width="25" hidden="0" customWidth="1"/>
    <x:col min="20" max="20" width="24" hidden="0" customWidth="1"/>
    <x:col min="21" max="21" width="34" hidden="0" customWidth="1"/>
    <x:col min="22" max="22" width="18" hidden="0" customWidth="1"/>
    <x:col min="23" max="23" width="38" hidden="0" customWidth="1"/>
    <x:col min="24" max="24" width="17" hidden="0" customWidth="1"/>
  </x:cols>
  <x:sheetData>
    <x:row r="1" ht="38" customHeight="1">
      <x:c r="A1" s="3" t="str">
        <x:v>BizKick EDCS — Smart Transaction Register</x:v>
      </x:c>
      <x:c r="B1" s="3" t="str">
        <x:v>BizKick EDCS — Smart Transaction Register</x:v>
      </x:c>
      <x:c r="C1" s="3" t="str">
        <x:v>BizKick EDCS — Smart Transaction Register</x:v>
      </x:c>
      <x:c r="D1" s="3" t="str">
        <x:v>BizKick EDCS — Smart Transaction Register</x:v>
      </x:c>
      <x:c r="E1" s="3" t="str">
        <x:v>BizKick EDCS — Smart Transaction Register</x:v>
      </x:c>
      <x:c r="F1" s="3" t="str">
        <x:v>BizKick EDCS — Smart Transaction Register</x:v>
      </x:c>
      <x:c r="G1" s="3" t="str">
        <x:v>BizKick EDCS — Smart Transaction Register</x:v>
      </x:c>
      <x:c r="H1" s="3" t="str">
        <x:v>BizKick EDCS — Smart Transaction Register</x:v>
      </x:c>
      <x:c r="I1" s="3" t="str">
        <x:v>BizKick EDCS — Smart Transaction Register</x:v>
      </x:c>
      <x:c r="J1" s="3" t="str">
        <x:v>BizKick EDCS — Smart Transaction Register</x:v>
      </x:c>
      <x:c r="K1" s="3" t="str">
        <x:v>BizKick EDCS — Smart Transaction Register</x:v>
      </x:c>
      <x:c r="L1" s="3" t="str">
        <x:v>BizKick EDCS — Smart Transaction Register</x:v>
      </x:c>
      <x:c r="M1" s="3" t="str">
        <x:v>BizKick EDCS — Smart Transaction Register</x:v>
      </x:c>
      <x:c r="N1" s="3" t="str">
        <x:v>BizKick EDCS — Smart Transaction Register</x:v>
      </x:c>
      <x:c r="O1" s="3" t="str">
        <x:v>BizKick EDCS — Smart Transaction Register</x:v>
      </x:c>
      <x:c r="P1" s="3" t="str">
        <x:v>BizKick EDCS — Smart Transaction Register</x:v>
      </x:c>
      <x:c r="Q1" s="3" t="str">
        <x:v>BizKick EDCS — Smart Transaction Register</x:v>
      </x:c>
      <x:c r="R1" s="3" t="str">
        <x:v>BizKick EDCS — Smart Transaction Register</x:v>
      </x:c>
      <x:c r="S1" s="3" t="str">
        <x:v>BizKick EDCS — Smart Transaction Register</x:v>
      </x:c>
      <x:c r="T1" s="3" t="str">
        <x:v>BizKick EDCS — Smart Transaction Register</x:v>
      </x:c>
      <x:c r="U1" s="3" t="str">
        <x:v>BizKick EDCS — Smart Transaction Register</x:v>
      </x:c>
      <x:c r="V1" s="3" t="str">
        <x:v>BizKick EDCS — Smart Transaction Register</x:v>
      </x:c>
      <x:c r="W1" s="3" t="str">
        <x:v>BizKick EDCS — Smart Transaction Register</x:v>
      </x:c>
      <x:c r="X1" s="3" t="str">
        <x:v>BizKick EDCS — Smart Transaction Register</x:v>
      </x:c>
    </x:row>
    <x:row r="2" ht="25" customHeight="1">
      <x:c r="A2" s="5" t="str">
        <x:v>Reserve the running number first. Do not delete cancelled numbers; keep them as audit evidence.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3" ht="27" customHeight="1">
      <x:c r="A3" s="33" t="str">
        <x:v>USER INPUT: Company code, type, year, sequence, revision, dates, counterparty, subject, amount, status, owner, file link and remarks. AUTOMATIC: Transaction ID, expiry days, alert and duplicate check. Use the table filters to find records.</x:v>
      </x:c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</x:row>
    <x:row r="4" ht="27" customHeight="1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</x:row>
    <x:row r="6" ht="36" customHeight="1">
      <x:c r="A6" s="10" t="str">
        <x:v>Company Code</x:v>
      </x:c>
      <x:c r="B6" s="10" t="str">
        <x:v>Document Type</x:v>
      </x:c>
      <x:c r="C6" s="10" t="str">
        <x:v>Year</x:v>
      </x:c>
      <x:c r="D6" s="10" t="str">
        <x:v>Sequence</x:v>
      </x:c>
      <x:c r="E6" s="10" t="str">
        <x:v>Transaction ID</x:v>
      </x:c>
      <x:c r="F6" s="10" t="str">
        <x:v>Revision</x:v>
      </x:c>
      <x:c r="G6" s="10" t="str">
        <x:v>Date Reserved</x:v>
      </x:c>
      <x:c r="H6" s="10" t="str">
        <x:v>Date Issued</x:v>
      </x:c>
      <x:c r="I6" s="10" t="str">
        <x:v>Counterparty Type</x:v>
      </x:c>
      <x:c r="J6" s="10" t="str">
        <x:v>Counterparty Name</x:v>
      </x:c>
      <x:c r="K6" s="10" t="str">
        <x:v>Subject / Description</x:v>
      </x:c>
      <x:c r="L6" s="10" t="str">
        <x:v>Amount</x:v>
      </x:c>
      <x:c r="M6" s="10" t="str">
        <x:v>Currency</x:v>
      </x:c>
      <x:c r="N6" s="10" t="str">
        <x:v>Status</x:v>
      </x:c>
      <x:c r="O6" s="10" t="str">
        <x:v>Owner</x:v>
      </x:c>
      <x:c r="P6" s="10" t="str">
        <x:v>Expiry / Due Date</x:v>
      </x:c>
      <x:c r="Q6" s="10" t="str">
        <x:v>Days to Expiry</x:v>
      </x:c>
      <x:c r="R6" s="10" t="str">
        <x:v>Alert</x:v>
      </x:c>
      <x:c r="S6" s="10" t="str">
        <x:v>Related Transaction ID</x:v>
      </x:c>
      <x:c r="T6" s="10" t="str">
        <x:v>Original External Ref</x:v>
      </x:c>
      <x:c r="U6" s="10" t="str">
        <x:v>File Link / Path</x:v>
      </x:c>
      <x:c r="V6" s="10" t="str">
        <x:v>Last Updated</x:v>
      </x:c>
      <x:c r="W6" s="10" t="str">
        <x:v>Remarks</x:v>
      </x:c>
      <x:c r="X6" s="10" t="str">
        <x:v>Duplicate Check</x:v>
      </x:c>
    </x:row>
    <x:row r="7">
      <x:c r="A7" s="36" t="inlineStr">
        <x:is>
          <x:t>NEX</x:t>
        </x:is>
      </x:c>
      <x:c r="B7" s="36" t="inlineStr">
        <x:is>
          <x:t>QT</x:t>
        </x:is>
      </x:c>
      <x:c r="C7" s="38">
        <x:v>2026</x:v>
      </x:c>
      <x:c r="D7" s="38">
        <x:v>1</x:v>
      </x:c>
      <x:c r="E7" s="36" t="str">
        <x:f>IF(OR(A7="",B7="",C7="",D7=""),"",A7&amp;"-"&amp;B7&amp;"-"&amp;TEXT(C7,"0000")&amp;"-"&amp;TEXT(D7,"0000"))</x:f>
        <x:v>NEX-QT-2026-0001</x:v>
      </x:c>
      <x:c r="F7" s="36" t="inlineStr">
        <x:is>
          <x:t>R1</x:t>
        </x:is>
      </x:c>
      <x:c r="G7" s="40">
        <x:v>46201</x:v>
      </x:c>
      <x:c r="H7" s="40">
        <x:v>46209</x:v>
      </x:c>
      <x:c r="I7" s="36" t="inlineStr">
        <x:is>
          <x:t>Customer</x:t>
        </x:is>
      </x:c>
      <x:c r="J7" s="36" t="inlineStr">
        <x:is>
          <x:t>Alpha Tech Resources</x:t>
        </x:is>
      </x:c>
      <x:c r="K7" s="36" t="inlineStr">
        <x:is>
          <x:t>Q4 office stationery bulk supply</x:t>
        </x:is>
      </x:c>
      <x:c r="L7" s="44">
        <x:v>18400</x:v>
      </x:c>
      <x:c r="M7" s="36" t="inlineStr">
        <x:is>
          <x:t>MYR</x:t>
        </x:is>
      </x:c>
      <x:c r="N7" s="36" t="inlineStr">
        <x:is>
          <x:t>Accepted</x:t>
        </x:is>
      </x:c>
      <x:c r="O7" s="36" t="inlineStr">
        <x:is>
          <x:t>Aisha R.</x:t>
        </x:is>
      </x:c>
      <x:c r="P7" s="40">
        <x:v>46239</x:v>
      </x:c>
      <x:c r="Q7" s="36">
        <x:f>IF(P7="","",P7-TODAY())</x:f>
        <x:v>-61</x:v>
      </x:c>
      <x:c r="R7" s="36" t="str">
        <x:f>IF(E7="","",IF(X7="DUPLICATE","STOP — DUPLICATE",IF(OR(N7="Completed",N7="Cancelled",N7="Rejected",N7="Superseded"),"Closed",IF(P7="","No due date",IF(Q7&lt;0,"OVERDUE",IF(Q7&lt;=7,"DUE SOON","Open"))))))</x:f>
        <x:v>OVERDUE</x:v>
      </x:c>
      <x:c r="S7" s="36"/>
      <x:c r="T7" s="36"/>
      <x:c r="U7" s="36" t="inlineStr">
        <x:is>
          <x:t>Documents/NEX/Sales/NEX-QT-2026-0001_R1_Alpha-Tech-Resources.xlsx</x:t>
        </x:is>
      </x:c>
      <x:c r="V7" s="42">
        <x:v>46223</x:v>
      </x:c>
      <x:c r="W7" s="36" t="inlineStr">
        <x:is>
          <x:t>R1 after agreed discount (R0 was 18,900)</x:t>
        </x:is>
      </x:c>
      <x:c r="X7" s="36" t="str">
        <x:f>IF(E7="","",IF(COUNTIF($E$7:$E$506,E7)&gt;1,"DUPLICATE","OK"))</x:f>
        <x:v>OK</x:v>
      </x:c>
    </x:row>
    <x:row r="8">
      <x:c r="A8" s="36" t="inlineStr">
        <x:is>
          <x:t>NEX</x:t>
        </x:is>
      </x:c>
      <x:c r="B8" s="36" t="inlineStr">
        <x:is>
          <x:t>SO</x:t>
        </x:is>
      </x:c>
      <x:c r="C8" s="38">
        <x:v>2026</x:v>
      </x:c>
      <x:c r="D8" s="38">
        <x:v>1</x:v>
      </x:c>
      <x:c r="E8" s="36" t="str">
        <x:f>IF(OR(A8="",B8="",C8="",D8=""),"",A8&amp;"-"&amp;B8&amp;"-"&amp;TEXT(C8,"0000")&amp;"-"&amp;TEXT(D8,"0000"))</x:f>
        <x:v>NEX-SO-2026-0001</x:v>
      </x:c>
      <x:c r="F8" s="36" t="inlineStr">
        <x:is>
          <x:t>R0</x:t>
        </x:is>
      </x:c>
      <x:c r="G8" s="40">
        <x:v>46224</x:v>
      </x:c>
      <x:c r="H8" s="40">
        <x:v>46225</x:v>
      </x:c>
      <x:c r="I8" s="36" t="inlineStr">
        <x:is>
          <x:t>Customer</x:t>
        </x:is>
      </x:c>
      <x:c r="J8" s="36" t="inlineStr">
        <x:is>
          <x:t>Alpha Tech Resources</x:t>
        </x:is>
      </x:c>
      <x:c r="K8" s="36" t="inlineStr">
        <x:is>
          <x:t>Sales order - Q4 stationery</x:t>
        </x:is>
      </x:c>
      <x:c r="L8" s="44">
        <x:v>18400</x:v>
      </x:c>
      <x:c r="M8" s="36" t="inlineStr">
        <x:is>
          <x:t>MYR</x:t>
        </x:is>
      </x:c>
      <x:c r="N8" s="36" t="inlineStr">
        <x:is>
          <x:t>Completed</x:t>
        </x:is>
      </x:c>
      <x:c r="O8" s="36" t="inlineStr">
        <x:is>
          <x:t>Aisha R.</x:t>
        </x:is>
      </x:c>
      <x:c r="P8" s="40"/>
      <x:c r="Q8" s="36" t="str">
        <x:f>IF(P8="","",P8-TODAY())</x:f>
        <x:v/>
      </x:c>
      <x:c r="R8" s="36" t="str">
        <x:f>IF(E8="","",IF(X8="DUPLICATE","STOP — DUPLICATE",IF(OR(N8="Completed",N8="Cancelled",N8="Rejected",N8="Superseded"),"Closed",IF(P8="","No due date",IF(Q8&lt;0,"OVERDUE",IF(Q8&lt;=7,"DUE SOON","Open"))))))</x:f>
        <x:v>Closed</x:v>
      </x:c>
      <x:c r="S8" s="36" t="inlineStr">
        <x:is>
          <x:t>NEX-QT-2026-0001</x:t>
        </x:is>
      </x:c>
      <x:c r="T8" s="36"/>
      <x:c r="U8" s="36" t="inlineStr">
        <x:is>
          <x:t>Documents/NEX/Sales/NEX-SO-2026-0001_Alpha-Tech-Resources.xlsx</x:t>
        </x:is>
      </x:c>
      <x:c r="V8" s="42">
        <x:v>46240</x:v>
      </x:c>
      <x:c r="W8" s="36"/>
      <x:c r="X8" s="36" t="str">
        <x:f>IF(E8="","",IF(COUNTIF($E$7:$E$506,E8)&gt;1,"DUPLICATE","OK"))</x:f>
        <x:v>OK</x:v>
      </x:c>
    </x:row>
    <x:row r="9">
      <x:c r="A9" s="36" t="inlineStr">
        <x:is>
          <x:t>NEX</x:t>
        </x:is>
      </x:c>
      <x:c r="B9" s="36" t="inlineStr">
        <x:is>
          <x:t>DO</x:t>
        </x:is>
      </x:c>
      <x:c r="C9" s="38">
        <x:v>2026</x:v>
      </x:c>
      <x:c r="D9" s="38">
        <x:v>1</x:v>
      </x:c>
      <x:c r="E9" s="36" t="str">
        <x:f>IF(OR(A9="",B9="",C9="",D9=""),"",A9&amp;"-"&amp;B9&amp;"-"&amp;TEXT(C9,"0000")&amp;"-"&amp;TEXT(D9,"0000"))</x:f>
        <x:v>NEX-DO-2026-0001</x:v>
      </x:c>
      <x:c r="F9" s="36" t="inlineStr">
        <x:is>
          <x:t>R0</x:t>
        </x:is>
      </x:c>
      <x:c r="G9" s="40">
        <x:v>46239</x:v>
      </x:c>
      <x:c r="H9" s="40">
        <x:v>46240</x:v>
      </x:c>
      <x:c r="I9" s="36" t="inlineStr">
        <x:is>
          <x:t>Customer</x:t>
        </x:is>
      </x:c>
      <x:c r="J9" s="36" t="inlineStr">
        <x:is>
          <x:t>Alpha Tech Resources</x:t>
        </x:is>
      </x:c>
      <x:c r="K9" s="36" t="inlineStr">
        <x:is>
          <x:t>Delivery - Q4 stationery</x:t>
        </x:is>
      </x:c>
      <x:c r="L9" s="44"/>
      <x:c r="M9" s="36" t="inlineStr">
        <x:is>
          <x:t>MYR</x:t>
        </x:is>
      </x:c>
      <x:c r="N9" s="36" t="inlineStr">
        <x:is>
          <x:t>Completed</x:t>
        </x:is>
      </x:c>
      <x:c r="O9" s="36" t="inlineStr">
        <x:is>
          <x:t>Store Keeper</x:t>
        </x:is>
      </x:c>
      <x:c r="P9" s="40"/>
      <x:c r="Q9" s="36" t="str">
        <x:f>IF(P9="","",P9-TODAY())</x:f>
        <x:v/>
      </x:c>
      <x:c r="R9" s="36" t="str">
        <x:f>IF(E9="","",IF(X9="DUPLICATE","STOP — DUPLICATE",IF(OR(N9="Completed",N9="Cancelled",N9="Rejected",N9="Superseded"),"Closed",IF(P9="","No due date",IF(Q9&lt;0,"OVERDUE",IF(Q9&lt;=7,"DUE SOON","Open"))))))</x:f>
        <x:v>Closed</x:v>
      </x:c>
      <x:c r="S9" s="36" t="inlineStr">
        <x:is>
          <x:t>NEX-SO-2026-0001</x:t>
        </x:is>
      </x:c>
      <x:c r="T9" s="36"/>
      <x:c r="U9" s="36" t="inlineStr">
        <x:is>
          <x:t>Documents/NEX/Sales/NEX-DO-2026-0001_Alpha-Tech-Resources.xlsx</x:t>
        </x:is>
      </x:c>
      <x:c r="V9" s="42">
        <x:v>46240</x:v>
      </x:c>
      <x:c r="W9" s="36"/>
      <x:c r="X9" s="36" t="str">
        <x:f>IF(E9="","",IF(COUNTIF($E$7:$E$506,E9)&gt;1,"DUPLICATE","OK"))</x:f>
        <x:v>OK</x:v>
      </x:c>
    </x:row>
    <x:row r="10">
      <x:c r="A10" s="36" t="inlineStr">
        <x:is>
          <x:t>NEX</x:t>
        </x:is>
      </x:c>
      <x:c r="B10" s="36" t="inlineStr">
        <x:is>
          <x:t>INV</x:t>
        </x:is>
      </x:c>
      <x:c r="C10" s="38">
        <x:v>2026</x:v>
      </x:c>
      <x:c r="D10" s="38">
        <x:v>1</x:v>
      </x:c>
      <x:c r="E10" s="36" t="str">
        <x:f>IF(OR(A10="",B10="",C10="",D10=""),"",A10&amp;"-"&amp;B10&amp;"-"&amp;TEXT(C10,"0000")&amp;"-"&amp;TEXT(D10,"0000"))</x:f>
        <x:v>NEX-INV-2026-0001</x:v>
      </x:c>
      <x:c r="F10" s="36" t="inlineStr">
        <x:is>
          <x:t>R0</x:t>
        </x:is>
      </x:c>
      <x:c r="G10" s="40">
        <x:v>46240</x:v>
      </x:c>
      <x:c r="H10" s="40">
        <x:v>46254</x:v>
      </x:c>
      <x:c r="I10" s="36" t="inlineStr">
        <x:is>
          <x:t>Customer</x:t>
        </x:is>
      </x:c>
      <x:c r="J10" s="36" t="inlineStr">
        <x:is>
          <x:t>Alpha Tech Resources</x:t>
        </x:is>
      </x:c>
      <x:c r="K10" s="36" t="inlineStr">
        <x:is>
          <x:t>Invoice - Q4 stationery</x:t>
        </x:is>
      </x:c>
      <x:c r="L10" s="44">
        <x:v>18400</x:v>
      </x:c>
      <x:c r="M10" s="36" t="inlineStr">
        <x:is>
          <x:t>MYR</x:t>
        </x:is>
      </x:c>
      <x:c r="N10" s="36" t="inlineStr">
        <x:is>
          <x:t>Completed</x:t>
        </x:is>
      </x:c>
      <x:c r="O10" s="36" t="inlineStr">
        <x:is>
          <x:t>Mei L.</x:t>
        </x:is>
      </x:c>
      <x:c r="P10" s="40">
        <x:v>46284</x:v>
      </x:c>
      <x:c r="Q10" s="36">
        <x:f>IF(P10="","",P10-TODAY())</x:f>
        <x:v>-16</x:v>
      </x:c>
      <x:c r="R10" s="36" t="str">
        <x:f>IF(E10="","",IF(X10="DUPLICATE","STOP — DUPLICATE",IF(OR(N10="Completed",N10="Cancelled",N10="Rejected",N10="Superseded"),"Closed",IF(P10="","No due date",IF(Q10&lt;0,"OVERDUE",IF(Q10&lt;=7,"DUE SOON","Open"))))))</x:f>
        <x:v>Closed</x:v>
      </x:c>
      <x:c r="S10" s="36" t="inlineStr">
        <x:is>
          <x:t>NEX-DO-2026-0001</x:t>
        </x:is>
      </x:c>
      <x:c r="T10" s="36"/>
      <x:c r="U10" s="36" t="inlineStr">
        <x:is>
          <x:t>Documents/NEX/Finance/NEX-INV-2026-0001_Alpha-Tech-Resources.xlsx</x:t>
        </x:is>
      </x:c>
      <x:c r="V10" s="42">
        <x:v>46277</x:v>
      </x:c>
      <x:c r="W10" s="36"/>
      <x:c r="X10" s="36" t="str">
        <x:f>IF(E10="","",IF(COUNTIF($E$7:$E$506,E10)&gt;1,"DUPLICATE","OK"))</x:f>
        <x:v>OK</x:v>
      </x:c>
    </x:row>
    <x:row r="11">
      <x:c r="A11" s="36" t="inlineStr">
        <x:is>
          <x:t>NEX</x:t>
        </x:is>
      </x:c>
      <x:c r="B11" s="36" t="inlineStr">
        <x:is>
          <x:t>RC</x:t>
        </x:is>
      </x:c>
      <x:c r="C11" s="38">
        <x:v>2026</x:v>
      </x:c>
      <x:c r="D11" s="38">
        <x:v>1</x:v>
      </x:c>
      <x:c r="E11" s="36" t="str">
        <x:f>IF(OR(A11="",B11="",C11="",D11=""),"",A11&amp;"-"&amp;B11&amp;"-"&amp;TEXT(C11,"0000")&amp;"-"&amp;TEXT(D11,"0000"))</x:f>
        <x:v>NEX-RC-2026-0001</x:v>
      </x:c>
      <x:c r="F11" s="36" t="inlineStr">
        <x:is>
          <x:t>R0</x:t>
        </x:is>
      </x:c>
      <x:c r="G11" s="40">
        <x:v>46277</x:v>
      </x:c>
      <x:c r="H11" s="40">
        <x:v>46277</x:v>
      </x:c>
      <x:c r="I11" s="36" t="inlineStr">
        <x:is>
          <x:t>Customer</x:t>
        </x:is>
      </x:c>
      <x:c r="J11" s="36" t="inlineStr">
        <x:is>
          <x:t>Alpha Tech Resources</x:t>
        </x:is>
      </x:c>
      <x:c r="K11" s="36" t="inlineStr">
        <x:is>
          <x:t>Receipt - invoice 0001</x:t>
        </x:is>
      </x:c>
      <x:c r="L11" s="44">
        <x:v>18400</x:v>
      </x:c>
      <x:c r="M11" s="36" t="inlineStr">
        <x:is>
          <x:t>MYR</x:t>
        </x:is>
      </x:c>
      <x:c r="N11" s="36" t="inlineStr">
        <x:is>
          <x:t>Completed</x:t>
        </x:is>
      </x:c>
      <x:c r="O11" s="36" t="inlineStr">
        <x:is>
          <x:t>Mei L.</x:t>
        </x:is>
      </x:c>
      <x:c r="P11" s="40"/>
      <x:c r="Q11" s="36" t="str">
        <x:f>IF(P11="","",P11-TODAY())</x:f>
        <x:v/>
      </x:c>
      <x:c r="R11" s="36" t="str">
        <x:f>IF(E11="","",IF(X11="DUPLICATE","STOP — DUPLICATE",IF(OR(N11="Completed",N11="Cancelled",N11="Rejected",N11="Superseded"),"Closed",IF(P11="","No due date",IF(Q11&lt;0,"OVERDUE",IF(Q11&lt;=7,"DUE SOON","Open"))))))</x:f>
        <x:v>Closed</x:v>
      </x:c>
      <x:c r="S11" s="36" t="inlineStr">
        <x:is>
          <x:t>NEX-INV-2026-0001</x:t>
        </x:is>
      </x:c>
      <x:c r="T11" s="36"/>
      <x:c r="U11" s="36" t="inlineStr">
        <x:is>
          <x:t>Documents/NEX/Finance/NEX-RC-2026-0001_Alpha-Tech-Resources.xlsx</x:t>
        </x:is>
      </x:c>
      <x:c r="V11" s="42">
        <x:v>46277</x:v>
      </x:c>
      <x:c r="W11" s="36"/>
      <x:c r="X11" s="36" t="str">
        <x:f>IF(E11="","",IF(COUNTIF($E$7:$E$506,E11)&gt;1,"DUPLICATE","OK"))</x:f>
        <x:v>OK</x:v>
      </x:c>
    </x:row>
    <x:row r="12">
      <x:c r="A12" s="36" t="inlineStr">
        <x:is>
          <x:t>NEX</x:t>
        </x:is>
      </x:c>
      <x:c r="B12" s="36" t="inlineStr">
        <x:is>
          <x:t>CN</x:t>
        </x:is>
      </x:c>
      <x:c r="C12" s="38">
        <x:v>2026</x:v>
      </x:c>
      <x:c r="D12" s="38">
        <x:v>1</x:v>
      </x:c>
      <x:c r="E12" s="36" t="str">
        <x:f>IF(OR(A12="",B12="",C12="",D12=""),"",A12&amp;"-"&amp;B12&amp;"-"&amp;TEXT(C12,"0000")&amp;"-"&amp;TEXT(D12,"0000"))</x:f>
        <x:v>NEX-CN-2026-0001</x:v>
      </x:c>
      <x:c r="F12" s="36" t="inlineStr">
        <x:is>
          <x:t>R0</x:t>
        </x:is>
      </x:c>
      <x:c r="G12" s="40">
        <x:v>46280</x:v>
      </x:c>
      <x:c r="H12" s="40">
        <x:v>46280</x:v>
      </x:c>
      <x:c r="I12" s="36" t="inlineStr">
        <x:is>
          <x:t>Customer</x:t>
        </x:is>
      </x:c>
      <x:c r="J12" s="36" t="inlineStr">
        <x:is>
          <x:t>Alpha Tech Resources</x:t>
        </x:is>
      </x:c>
      <x:c r="K12" s="36" t="inlineStr">
        <x:is>
          <x:t>Credit note - returned damaged items</x:t>
        </x:is>
      </x:c>
      <x:c r="L12" s="44">
        <x:v>450</x:v>
      </x:c>
      <x:c r="M12" s="36" t="inlineStr">
        <x:is>
          <x:t>MYR</x:t>
        </x:is>
      </x:c>
      <x:c r="N12" s="36" t="inlineStr">
        <x:is>
          <x:t>Issued</x:t>
        </x:is>
      </x:c>
      <x:c r="O12" s="36" t="inlineStr">
        <x:is>
          <x:t>Mei L.</x:t>
        </x:is>
      </x:c>
      <x:c r="P12" s="40"/>
      <x:c r="Q12" s="36" t="str">
        <x:f>IF(P12="","",P12-TODAY())</x:f>
        <x:v/>
      </x:c>
      <x:c r="R12" s="36" t="str">
        <x:f>IF(E12="","",IF(X12="DUPLICATE","STOP — DUPLICATE",IF(OR(N12="Completed",N12="Cancelled",N12="Rejected",N12="Superseded"),"Closed",IF(P12="","No due date",IF(Q12&lt;0,"OVERDUE",IF(Q12&lt;=7,"DUE SOON","Open"))))))</x:f>
        <x:v>No due date</x:v>
      </x:c>
      <x:c r="S12" s="36" t="inlineStr">
        <x:is>
          <x:t>NEX-INV-2026-0001</x:t>
        </x:is>
      </x:c>
      <x:c r="T12" s="36"/>
      <x:c r="U12" s="36"/>
      <x:c r="V12" s="42">
        <x:v>46280</x:v>
      </x:c>
      <x:c r="W12" s="36"/>
      <x:c r="X12" s="36" t="str">
        <x:f>IF(E12="","",IF(COUNTIF($E$7:$E$506,E12)&gt;1,"DUPLICATE","OK"))</x:f>
        <x:v>OK</x:v>
      </x:c>
    </x:row>
    <x:row r="13">
      <x:c r="A13" s="36" t="inlineStr">
        <x:is>
          <x:t>NEX</x:t>
        </x:is>
      </x:c>
      <x:c r="B13" s="36" t="inlineStr">
        <x:is>
          <x:t>QT</x:t>
        </x:is>
      </x:c>
      <x:c r="C13" s="38">
        <x:v>2026</x:v>
      </x:c>
      <x:c r="D13" s="38">
        <x:v>2</x:v>
      </x:c>
      <x:c r="E13" s="36" t="str">
        <x:f>IF(OR(A13="",B13="",C13="",D13=""),"",A13&amp;"-"&amp;B13&amp;"-"&amp;TEXT(C13,"0000")&amp;"-"&amp;TEXT(D13,"0000"))</x:f>
        <x:v>NEX-QT-2026-0002</x:v>
      </x:c>
      <x:c r="F13" s="36" t="inlineStr">
        <x:is>
          <x:t>R0</x:t>
        </x:is>
      </x:c>
      <x:c r="G13" s="40">
        <x:v>46231</x:v>
      </x:c>
      <x:c r="H13" s="40">
        <x:v>46233</x:v>
      </x:c>
      <x:c r="I13" s="36" t="inlineStr">
        <x:is>
          <x:t>Customer</x:t>
        </x:is>
      </x:c>
      <x:c r="J13" s="36" t="inlineStr">
        <x:is>
          <x:t>Beta Mart</x:t>
        </x:is>
      </x:c>
      <x:c r="K13" s="36" t="inlineStr">
        <x:is>
          <x:t>Cafeteria paper goods</x:t>
        </x:is>
      </x:c>
      <x:c r="L13" s="44">
        <x:v>7250</x:v>
      </x:c>
      <x:c r="M13" s="36" t="inlineStr">
        <x:is>
          <x:t>MYR</x:t>
        </x:is>
      </x:c>
      <x:c r="N13" s="36" t="inlineStr">
        <x:is>
          <x:t>Accepted</x:t>
        </x:is>
      </x:c>
      <x:c r="O13" s="36" t="inlineStr">
        <x:is>
          <x:t>Aisha R.</x:t>
        </x:is>
      </x:c>
      <x:c r="P13" s="40">
        <x:v>46263</x:v>
      </x:c>
      <x:c r="Q13" s="36">
        <x:f>IF(P13="","",P13-TODAY())</x:f>
        <x:v>-37</x:v>
      </x:c>
      <x:c r="R13" s="36" t="str">
        <x:f>IF(E13="","",IF(X13="DUPLICATE","STOP — DUPLICATE",IF(OR(N13="Completed",N13="Cancelled",N13="Rejected",N13="Superseded"),"Closed",IF(P13="","No due date",IF(Q13&lt;0,"OVERDUE",IF(Q13&lt;=7,"DUE SOON","Open"))))))</x:f>
        <x:v>OVERDUE</x:v>
      </x:c>
      <x:c r="S13" s="36"/>
      <x:c r="T13" s="36"/>
      <x:c r="U13" s="36"/>
      <x:c r="V13" s="42">
        <x:v>46236</x:v>
      </x:c>
      <x:c r="W13" s="36"/>
      <x:c r="X13" s="36" t="str">
        <x:f>IF(E13="","",IF(COUNTIF($E$7:$E$506,E13)&gt;1,"DUPLICATE","OK"))</x:f>
        <x:v>OK</x:v>
      </x:c>
    </x:row>
    <x:row r="14">
      <x:c r="A14" s="36" t="inlineStr">
        <x:is>
          <x:t>NEX</x:t>
        </x:is>
      </x:c>
      <x:c r="B14" s="36" t="inlineStr">
        <x:is>
          <x:t>SO</x:t>
        </x:is>
      </x:c>
      <x:c r="C14" s="38">
        <x:v>2026</x:v>
      </x:c>
      <x:c r="D14" s="38">
        <x:v>2</x:v>
      </x:c>
      <x:c r="E14" s="36" t="str">
        <x:f>IF(OR(A14="",B14="",C14="",D14=""),"",A14&amp;"-"&amp;B14&amp;"-"&amp;TEXT(C14,"0000")&amp;"-"&amp;TEXT(D14,"0000"))</x:f>
        <x:v>NEX-SO-2026-0002</x:v>
      </x:c>
      <x:c r="F14" s="36" t="inlineStr">
        <x:is>
          <x:t>R0</x:t>
        </x:is>
      </x:c>
      <x:c r="G14" s="40">
        <x:v>46236</x:v>
      </x:c>
      <x:c r="H14" s="40">
        <x:v>46236</x:v>
      </x:c>
      <x:c r="I14" s="36" t="inlineStr">
        <x:is>
          <x:t>Customer</x:t>
        </x:is>
      </x:c>
      <x:c r="J14" s="36" t="inlineStr">
        <x:is>
          <x:t>Beta Mart</x:t>
        </x:is>
      </x:c>
      <x:c r="K14" s="36" t="inlineStr">
        <x:is>
          <x:t>Sales order - paper goods</x:t>
        </x:is>
      </x:c>
      <x:c r="L14" s="44">
        <x:v>7250</x:v>
      </x:c>
      <x:c r="M14" s="36" t="inlineStr">
        <x:is>
          <x:t>MYR</x:t>
        </x:is>
      </x:c>
      <x:c r="N14" s="36" t="inlineStr">
        <x:is>
          <x:t>Completed</x:t>
        </x:is>
      </x:c>
      <x:c r="O14" s="36" t="inlineStr">
        <x:is>
          <x:t>Aisha R.</x:t>
        </x:is>
      </x:c>
      <x:c r="P14" s="40"/>
      <x:c r="Q14" s="36" t="str">
        <x:f>IF(P14="","",P14-TODAY())</x:f>
        <x:v/>
      </x:c>
      <x:c r="R14" s="36" t="str">
        <x:f>IF(E14="","",IF(X14="DUPLICATE","STOP — DUPLICATE",IF(OR(N14="Completed",N14="Cancelled",N14="Rejected",N14="Superseded"),"Closed",IF(P14="","No due date",IF(Q14&lt;0,"OVERDUE",IF(Q14&lt;=7,"DUE SOON","Open"))))))</x:f>
        <x:v>Closed</x:v>
      </x:c>
      <x:c r="S14" s="36" t="inlineStr">
        <x:is>
          <x:t>NEX-QT-2026-0002</x:t>
        </x:is>
      </x:c>
      <x:c r="T14" s="36"/>
      <x:c r="U14" s="36"/>
      <x:c r="V14" s="42">
        <x:v>46256</x:v>
      </x:c>
      <x:c r="W14" s="36"/>
      <x:c r="X14" s="36" t="str">
        <x:f>IF(E14="","",IF(COUNTIF($E$7:$E$506,E14)&gt;1,"DUPLICATE","OK"))</x:f>
        <x:v>OK</x:v>
      </x:c>
    </x:row>
    <x:row r="15">
      <x:c r="A15" s="36" t="inlineStr">
        <x:is>
          <x:t>NEX</x:t>
        </x:is>
      </x:c>
      <x:c r="B15" s="36" t="inlineStr">
        <x:is>
          <x:t>DO</x:t>
        </x:is>
      </x:c>
      <x:c r="C15" s="38">
        <x:v>2026</x:v>
      </x:c>
      <x:c r="D15" s="38">
        <x:v>2</x:v>
      </x:c>
      <x:c r="E15" s="36" t="str">
        <x:f>IF(OR(A15="",B15="",C15="",D15=""),"",A15&amp;"-"&amp;B15&amp;"-"&amp;TEXT(C15,"0000")&amp;"-"&amp;TEXT(D15,"0000"))</x:f>
        <x:v>NEX-DO-2026-0002</x:v>
      </x:c>
      <x:c r="F15" s="36" t="inlineStr">
        <x:is>
          <x:t>R0</x:t>
        </x:is>
      </x:c>
      <x:c r="G15" s="40">
        <x:v>46256</x:v>
      </x:c>
      <x:c r="H15" s="40">
        <x:v>46256</x:v>
      </x:c>
      <x:c r="I15" s="36" t="inlineStr">
        <x:is>
          <x:t>Customer</x:t>
        </x:is>
      </x:c>
      <x:c r="J15" s="36" t="inlineStr">
        <x:is>
          <x:t>Beta Mart</x:t>
        </x:is>
      </x:c>
      <x:c r="K15" s="36" t="inlineStr">
        <x:is>
          <x:t>Delivery - paper goods</x:t>
        </x:is>
      </x:c>
      <x:c r="L15" s="44"/>
      <x:c r="M15" s="36" t="inlineStr">
        <x:is>
          <x:t>MYR</x:t>
        </x:is>
      </x:c>
      <x:c r="N15" s="36" t="inlineStr">
        <x:is>
          <x:t>Completed</x:t>
        </x:is>
      </x:c>
      <x:c r="O15" s="36" t="inlineStr">
        <x:is>
          <x:t>Store Keeper</x:t>
        </x:is>
      </x:c>
      <x:c r="P15" s="40"/>
      <x:c r="Q15" s="36" t="str">
        <x:f>IF(P15="","",P15-TODAY())</x:f>
        <x:v/>
      </x:c>
      <x:c r="R15" s="36" t="str">
        <x:f>IF(E15="","",IF(X15="DUPLICATE","STOP — DUPLICATE",IF(OR(N15="Completed",N15="Cancelled",N15="Rejected",N15="Superseded"),"Closed",IF(P15="","No due date",IF(Q15&lt;0,"OVERDUE",IF(Q15&lt;=7,"DUE SOON","Open"))))))</x:f>
        <x:v>Closed</x:v>
      </x:c>
      <x:c r="S15" s="36" t="inlineStr">
        <x:is>
          <x:t>NEX-SO-2026-0002</x:t>
        </x:is>
      </x:c>
      <x:c r="T15" s="36"/>
      <x:c r="U15" s="36"/>
      <x:c r="V15" s="42">
        <x:v>46256</x:v>
      </x:c>
      <x:c r="W15" s="36"/>
      <x:c r="X15" s="36" t="str">
        <x:f>IF(E15="","",IF(COUNTIF($E$7:$E$506,E15)&gt;1,"DUPLICATE","OK"))</x:f>
        <x:v>OK</x:v>
      </x:c>
    </x:row>
    <x:row r="16">
      <x:c r="A16" s="36" t="inlineStr">
        <x:is>
          <x:t>NEX</x:t>
        </x:is>
      </x:c>
      <x:c r="B16" s="36" t="inlineStr">
        <x:is>
          <x:t>INV</x:t>
        </x:is>
      </x:c>
      <x:c r="C16" s="38">
        <x:v>2026</x:v>
      </x:c>
      <x:c r="D16" s="38">
        <x:v>2</x:v>
      </x:c>
      <x:c r="E16" s="36" t="str">
        <x:f>IF(OR(A16="",B16="",C16="",D16=""),"",A16&amp;"-"&amp;B16&amp;"-"&amp;TEXT(C16,"0000")&amp;"-"&amp;TEXT(D16,"0000"))</x:f>
        <x:v>NEX-INV-2026-0002</x:v>
      </x:c>
      <x:c r="F16" s="36" t="inlineStr">
        <x:is>
          <x:t>R0</x:t>
        </x:is>
      </x:c>
      <x:c r="G16" s="40">
        <x:v>46259</x:v>
      </x:c>
      <x:c r="H16" s="40">
        <x:v>46259</x:v>
      </x:c>
      <x:c r="I16" s="36" t="inlineStr">
        <x:is>
          <x:t>Customer</x:t>
        </x:is>
      </x:c>
      <x:c r="J16" s="36" t="inlineStr">
        <x:is>
          <x:t>Beta Mart</x:t>
        </x:is>
      </x:c>
      <x:c r="K16" s="36" t="inlineStr">
        <x:is>
          <x:t>Invoice - paper goods</x:t>
        </x:is>
      </x:c>
      <x:c r="L16" s="44">
        <x:v>7250</x:v>
      </x:c>
      <x:c r="M16" s="36" t="inlineStr">
        <x:is>
          <x:t>MYR</x:t>
        </x:is>
      </x:c>
      <x:c r="N16" s="36" t="inlineStr">
        <x:is>
          <x:t>Issued</x:t>
        </x:is>
      </x:c>
      <x:c r="O16" s="36" t="inlineStr">
        <x:is>
          <x:t>Mei L.</x:t>
        </x:is>
      </x:c>
      <x:c r="P16" s="40">
        <x:v>46289</x:v>
      </x:c>
      <x:c r="Q16" s="36">
        <x:f>IF(P16="","",P16-TODAY())</x:f>
        <x:v>-11</x:v>
      </x:c>
      <x:c r="R16" s="36" t="str">
        <x:f>IF(E16="","",IF(X16="DUPLICATE","STOP — DUPLICATE",IF(OR(N16="Completed",N16="Cancelled",N16="Rejected",N16="Superseded"),"Closed",IF(P16="","No due date",IF(Q16&lt;0,"OVERDUE",IF(Q16&lt;=7,"DUE SOON","Open"))))))</x:f>
        <x:v>OVERDUE</x:v>
      </x:c>
      <x:c r="S16" s="36" t="inlineStr">
        <x:is>
          <x:t>NEX-DO-2026-0002</x:t>
        </x:is>
      </x:c>
      <x:c r="T16" s="36"/>
      <x:c r="U16" s="36"/>
      <x:c r="V16" s="42">
        <x:v>46259</x:v>
      </x:c>
      <x:c r="W16" s="36" t="inlineStr">
        <x:is>
          <x:t>Reminder 1 not yet sent</x:t>
        </x:is>
      </x:c>
      <x:c r="X16" s="36" t="str">
        <x:f>IF(E16="","",IF(COUNTIF($E$7:$E$506,E16)&gt;1,"DUPLICATE","OK"))</x:f>
        <x:v>OK</x:v>
      </x:c>
    </x:row>
    <x:row r="17">
      <x:c r="A17" s="36" t="inlineStr">
        <x:is>
          <x:t>NEX</x:t>
        </x:is>
      </x:c>
      <x:c r="B17" s="36" t="inlineStr">
        <x:is>
          <x:t>CMP</x:t>
        </x:is>
      </x:c>
      <x:c r="C17" s="38">
        <x:v>2026</x:v>
      </x:c>
      <x:c r="D17" s="38">
        <x:v>1</x:v>
      </x:c>
      <x:c r="E17" s="36" t="str">
        <x:f>IF(OR(A17="",B17="",C17="",D17=""),"",A17&amp;"-"&amp;B17&amp;"-"&amp;TEXT(C17,"0000")&amp;"-"&amp;TEXT(D17,"0000"))</x:f>
        <x:v>NEX-CMP-2026-0001</x:v>
      </x:c>
      <x:c r="F17" s="36" t="inlineStr">
        <x:is>
          <x:t>R0</x:t>
        </x:is>
      </x:c>
      <x:c r="G17" s="40">
        <x:v>46294</x:v>
      </x:c>
      <x:c r="H17" s="40"/>
      <x:c r="I17" s="36" t="inlineStr">
        <x:is>
          <x:t>Customer</x:t>
        </x:is>
      </x:c>
      <x:c r="J17" s="36" t="inlineStr">
        <x:is>
          <x:t>Beta Mart</x:t>
        </x:is>
      </x:c>
      <x:c r="K17" s="36" t="inlineStr">
        <x:is>
          <x:t>Wrong toner cartridges delivered</x:t>
        </x:is>
      </x:c>
      <x:c r="L17" s="44"/>
      <x:c r="M17" s="36" t="inlineStr">
        <x:is>
          <x:t>MYR</x:t>
        </x:is>
      </x:c>
      <x:c r="N17" s="36" t="inlineStr">
        <x:is>
          <x:t>Under Review</x:t>
        </x:is>
      </x:c>
      <x:c r="O17" s="36" t="inlineStr">
        <x:is>
          <x:t>Aisha R.</x:t>
        </x:is>
      </x:c>
      <x:c r="P17" s="40">
        <x:v>46305</x:v>
      </x:c>
      <x:c r="Q17" s="36">
        <x:f>IF(P17="","",P17-TODAY())</x:f>
        <x:v>5</x:v>
      </x:c>
      <x:c r="R17" s="36" t="str">
        <x:f>IF(E17="","",IF(X17="DUPLICATE","STOP — DUPLICATE",IF(OR(N17="Completed",N17="Cancelled",N17="Rejected",N17="Superseded"),"Closed",IF(P17="","No due date",IF(Q17&lt;0,"OVERDUE",IF(Q17&lt;=7,"DUE SOON","Open"))))))</x:f>
        <x:v>DUE SOON</x:v>
      </x:c>
      <x:c r="S17" s="36" t="inlineStr">
        <x:is>
          <x:t>NEX-INV-2026-0002</x:t>
        </x:is>
      </x:c>
      <x:c r="T17" s="36"/>
      <x:c r="U17" s="36"/>
      <x:c r="V17" s="42">
        <x:v>46294</x:v>
      </x:c>
      <x:c r="W17" s="36"/>
      <x:c r="X17" s="36" t="str">
        <x:f>IF(E17="","",IF(COUNTIF($E$7:$E$506,E17)&gt;1,"DUPLICATE","OK"))</x:f>
        <x:v>OK</x:v>
      </x:c>
    </x:row>
    <x:row r="18">
      <x:c r="A18" s="36" t="inlineStr">
        <x:is>
          <x:t>NEX</x:t>
        </x:is>
      </x:c>
      <x:c r="B18" s="36" t="inlineStr">
        <x:is>
          <x:t>CMP</x:t>
        </x:is>
      </x:c>
      <x:c r="C18" s="38">
        <x:v>2026</x:v>
      </x:c>
      <x:c r="D18" s="38">
        <x:v>2</x:v>
      </x:c>
      <x:c r="E18" s="36" t="str">
        <x:f>IF(OR(A18="",B18="",C18="",D18=""),"",A18&amp;"-"&amp;B18&amp;"-"&amp;TEXT(C18,"0000")&amp;"-"&amp;TEXT(D18,"0000"))</x:f>
        <x:v>NEX-CMP-2026-0002</x:v>
      </x:c>
      <x:c r="F18" s="36" t="inlineStr">
        <x:is>
          <x:t>R0</x:t>
        </x:is>
      </x:c>
      <x:c r="G18" s="40">
        <x:v>46244</x:v>
      </x:c>
      <x:c r="H18" s="40"/>
      <x:c r="I18" s="36" t="inlineStr">
        <x:is>
          <x:t>Customer</x:t>
        </x:is>
      </x:c>
      <x:c r="J18" s="36" t="inlineStr">
        <x:is>
          <x:t>Gamma Learning Centre</x:t>
        </x:is>
      </x:c>
      <x:c r="K18" s="36" t="inlineStr">
        <x:is>
          <x:t>Late delivery of stationery</x:t>
        </x:is>
      </x:c>
      <x:c r="L18" s="44"/>
      <x:c r="M18" s="36" t="inlineStr">
        <x:is>
          <x:t>MYR</x:t>
        </x:is>
      </x:c>
      <x:c r="N18" s="36" t="inlineStr">
        <x:is>
          <x:t>Completed</x:t>
        </x:is>
      </x:c>
      <x:c r="O18" s="36" t="inlineStr">
        <x:is>
          <x:t>Aisha R.</x:t>
        </x:is>
      </x:c>
      <x:c r="P18" s="40"/>
      <x:c r="Q18" s="36" t="str">
        <x:f>IF(P18="","",P18-TODAY())</x:f>
        <x:v/>
      </x:c>
      <x:c r="R18" s="36" t="str">
        <x:f>IF(E18="","",IF(X18="DUPLICATE","STOP — DUPLICATE",IF(OR(N18="Completed",N18="Cancelled",N18="Rejected",N18="Superseded"),"Closed",IF(P18="","No due date",IF(Q18&lt;0,"OVERDUE",IF(Q18&lt;=7,"DUE SOON","Open"))))))</x:f>
        <x:v>Closed</x:v>
      </x:c>
      <x:c r="S18" s="36"/>
      <x:c r="T18" s="36"/>
      <x:c r="U18" s="36"/>
      <x:c r="V18" s="42">
        <x:v>46252</x:v>
      </x:c>
      <x:c r="W18" s="36"/>
      <x:c r="X18" s="36" t="str">
        <x:f>IF(E18="","",IF(COUNTIF($E$7:$E$506,E18)&gt;1,"DUPLICATE","OK"))</x:f>
        <x:v>OK</x:v>
      </x:c>
    </x:row>
    <x:row r="19">
      <x:c r="A19" s="36" t="inlineStr">
        <x:is>
          <x:t>NEX</x:t>
        </x:is>
      </x:c>
      <x:c r="B19" s="36" t="inlineStr">
        <x:is>
          <x:t>QT</x:t>
        </x:is>
      </x:c>
      <x:c r="C19" s="38">
        <x:v>2026</x:v>
      </x:c>
      <x:c r="D19" s="38">
        <x:v>3</x:v>
      </x:c>
      <x:c r="E19" s="36" t="str">
        <x:f>IF(OR(A19="",B19="",C19="",D19=""),"",A19&amp;"-"&amp;B19&amp;"-"&amp;TEXT(C19,"0000")&amp;"-"&amp;TEXT(D19,"0000"))</x:f>
        <x:v>NEX-QT-2026-0003</x:v>
      </x:c>
      <x:c r="F19" s="36" t="inlineStr">
        <x:is>
          <x:t>R1</x:t>
        </x:is>
      </x:c>
      <x:c r="G19" s="40">
        <x:v>46295</x:v>
      </x:c>
      <x:c r="H19" s="40">
        <x:v>46300</x:v>
      </x:c>
      <x:c r="I19" s="36" t="inlineStr">
        <x:is>
          <x:t>Customer</x:t>
        </x:is>
      </x:c>
      <x:c r="J19" s="36" t="inlineStr">
        <x:is>
          <x:t>Gamma Learning Centre</x:t>
        </x:is>
      </x:c>
      <x:c r="K19" s="36" t="inlineStr">
        <x:is>
          <x:t>Classroom supplies term 4</x:t>
        </x:is>
      </x:c>
      <x:c r="L19" s="44">
        <x:v>4750</x:v>
      </x:c>
      <x:c r="M19" s="36" t="inlineStr">
        <x:is>
          <x:t>MYR</x:t>
        </x:is>
      </x:c>
      <x:c r="N19" s="36" t="inlineStr">
        <x:is>
          <x:t>Issued</x:t>
        </x:is>
      </x:c>
      <x:c r="O19" s="36" t="inlineStr">
        <x:is>
          <x:t>Aisha R.</x:t>
        </x:is>
      </x:c>
      <x:c r="P19" s="40">
        <x:v>46310</x:v>
      </x:c>
      <x:c r="Q19" s="36">
        <x:f>IF(P19="","",P19-TODAY())</x:f>
        <x:v>10</x:v>
      </x:c>
      <x:c r="R19" s="36" t="str">
        <x:f>IF(E19="","",IF(X19="DUPLICATE","STOP — DUPLICATE",IF(OR(N19="Completed",N19="Cancelled",N19="Rejected",N19="Superseded"),"Closed",IF(P19="","No due date",IF(Q19&lt;0,"OVERDUE",IF(Q19&lt;=7,"DUE SOON","Open"))))))</x:f>
        <x:v>Open</x:v>
      </x:c>
      <x:c r="S19" s="36"/>
      <x:c r="T19" s="36"/>
      <x:c r="U19" s="36"/>
      <x:c r="V19" s="42">
        <x:v>46300</x:v>
      </x:c>
      <x:c r="W19" s="36" t="inlineStr">
        <x:is>
          <x:t>R1 reduced price, validity extended</x:t>
        </x:is>
      </x:c>
      <x:c r="X19" s="36" t="str">
        <x:f>IF(E19="","",IF(COUNTIF($E$7:$E$506,E19)&gt;1,"DUPLICATE","OK"))</x:f>
        <x:v>OK</x:v>
      </x:c>
    </x:row>
    <x:row r="20">
      <x:c r="A20" s="36" t="inlineStr">
        <x:is>
          <x:t>NEX</x:t>
        </x:is>
      </x:c>
      <x:c r="B20" s="36" t="inlineStr">
        <x:is>
          <x:t>QT</x:t>
        </x:is>
      </x:c>
      <x:c r="C20" s="38">
        <x:v>2026</x:v>
      </x:c>
      <x:c r="D20" s="38">
        <x:v>4</x:v>
      </x:c>
      <x:c r="E20" s="36" t="str">
        <x:f>IF(OR(A20="",B20="",C20="",D20=""),"",A20&amp;"-"&amp;B20&amp;"-"&amp;TEXT(C20,"0000")&amp;"-"&amp;TEXT(D20,"0000"))</x:f>
        <x:v>NEX-QT-2026-0004</x:v>
      </x:c>
      <x:c r="F20" s="36" t="inlineStr">
        <x:is>
          <x:t>R0</x:t>
        </x:is>
      </x:c>
      <x:c r="G20" s="40">
        <x:v>46282</x:v>
      </x:c>
      <x:c r="H20" s="40">
        <x:v>46283</x:v>
      </x:c>
      <x:c r="I20" s="36" t="inlineStr">
        <x:is>
          <x:t>Customer</x:t>
        </x:is>
      </x:c>
      <x:c r="J20" s="36" t="inlineStr">
        <x:is>
          <x:t>Delta Clinic</x:t>
        </x:is>
      </x:c>
      <x:c r="K20" s="36" t="inlineStr">
        <x:is>
          <x:t>Clinic forms and stationery</x:t>
        </x:is>
      </x:c>
      <x:c r="L20" s="44">
        <x:v>22000</x:v>
      </x:c>
      <x:c r="M20" s="36" t="inlineStr">
        <x:is>
          <x:t>MYR</x:t>
        </x:is>
      </x:c>
      <x:c r="N20" s="36" t="inlineStr">
        <x:is>
          <x:t>Issued</x:t>
        </x:is>
      </x:c>
      <x:c r="O20" s="36" t="inlineStr">
        <x:is>
          <x:t>Aisha R.</x:t>
        </x:is>
      </x:c>
      <x:c r="P20" s="40">
        <x:v>46315</x:v>
      </x:c>
      <x:c r="Q20" s="36">
        <x:f>IF(P20="","",P20-TODAY())</x:f>
        <x:v>15</x:v>
      </x:c>
      <x:c r="R20" s="36" t="str">
        <x:f>IF(E20="","",IF(X20="DUPLICATE","STOP — DUPLICATE",IF(OR(N20="Completed",N20="Cancelled",N20="Rejected",N20="Superseded"),"Closed",IF(P20="","No due date",IF(Q20&lt;0,"OVERDUE",IF(Q20&lt;=7,"DUE SOON","Open"))))))</x:f>
        <x:v>Open</x:v>
      </x:c>
      <x:c r="S20" s="36"/>
      <x:c r="T20" s="36"/>
      <x:c r="U20" s="36"/>
      <x:c r="V20" s="42">
        <x:v>46283</x:v>
      </x:c>
      <x:c r="W20" s="36"/>
      <x:c r="X20" s="36" t="str">
        <x:f>IF(E20="","",IF(COUNTIF($E$7:$E$506,E20)&gt;1,"DUPLICATE","OK"))</x:f>
        <x:v>OK</x:v>
      </x:c>
    </x:row>
    <x:row r="21">
      <x:c r="A21" s="36" t="inlineStr">
        <x:is>
          <x:t>NEX</x:t>
        </x:is>
      </x:c>
      <x:c r="B21" s="36" t="inlineStr">
        <x:is>
          <x:t>QT</x:t>
        </x:is>
      </x:c>
      <x:c r="C21" s="38">
        <x:v>2026</x:v>
      </x:c>
      <x:c r="D21" s="38">
        <x:v>5</x:v>
      </x:c>
      <x:c r="E21" s="36" t="str">
        <x:f>IF(OR(A21="",B21="",C21="",D21=""),"",A21&amp;"-"&amp;B21&amp;"-"&amp;TEXT(C21,"0000")&amp;"-"&amp;TEXT(D21,"0000"))</x:f>
        <x:v>NEX-QT-2026-0005</x:v>
      </x:c>
      <x:c r="F21" s="36" t="inlineStr">
        <x:is>
          <x:t>R0</x:t>
        </x:is>
      </x:c>
      <x:c r="G21" s="40">
        <x:v>46274</x:v>
      </x:c>
      <x:c r="H21" s="40">
        <x:v>46275</x:v>
      </x:c>
      <x:c r="I21" s="36" t="inlineStr">
        <x:is>
          <x:t>Customer</x:t>
        </x:is>
      </x:c>
      <x:c r="J21" s="36" t="inlineStr">
        <x:is>
          <x:t>Epsilon Logistics</x:t>
        </x:is>
      </x:c>
      <x:c r="K21" s="36" t="inlineStr">
        <x:is>
          <x:t>Warehouse labels and tapes</x:t>
        </x:is>
      </x:c>
      <x:c r="L21" s="44">
        <x:v>9600</x:v>
      </x:c>
      <x:c r="M21" s="36" t="inlineStr">
        <x:is>
          <x:t>MYR</x:t>
        </x:is>
      </x:c>
      <x:c r="N21" s="36" t="inlineStr">
        <x:is>
          <x:t>Superseded</x:t>
        </x:is>
      </x:c>
      <x:c r="O21" s="36" t="inlineStr">
        <x:is>
          <x:t>Aisha R.</x:t>
        </x:is>
      </x:c>
      <x:c r="P21" s="40">
        <x:v>46305</x:v>
      </x:c>
      <x:c r="Q21" s="36">
        <x:f>IF(P21="","",P21-TODAY())</x:f>
        <x:v>5</x:v>
      </x:c>
      <x:c r="R21" s="36" t="str">
        <x:f>IF(E21="","",IF(X21="DUPLICATE","STOP — DUPLICATE",IF(OR(N21="Completed",N21="Cancelled",N21="Rejected",N21="Superseded"),"Closed",IF(P21="","No due date",IF(Q21&lt;0,"OVERDUE",IF(Q21&lt;=7,"DUE SOON","Open"))))))</x:f>
        <x:v>Closed</x:v>
      </x:c>
      <x:c r="S21" s="36"/>
      <x:c r="T21" s="36"/>
      <x:c r="U21" s="36"/>
      <x:c r="V21" s="42">
        <x:v>46285</x:v>
      </x:c>
      <x:c r="W21" s="36" t="inlineStr">
        <x:is>
          <x:t>Replaced by NEX-QT-2026-0006</x:t>
        </x:is>
      </x:c>
      <x:c r="X21" s="36" t="str">
        <x:f>IF(E21="","",IF(COUNTIF($E$7:$E$506,E21)&gt;1,"DUPLICATE","OK"))</x:f>
        <x:v>OK</x:v>
      </x:c>
    </x:row>
    <x:row r="22">
      <x:c r="A22" s="36" t="inlineStr">
        <x:is>
          <x:t>NEX</x:t>
        </x:is>
      </x:c>
      <x:c r="B22" s="36" t="inlineStr">
        <x:is>
          <x:t>QT</x:t>
        </x:is>
      </x:c>
      <x:c r="C22" s="38">
        <x:v>2026</x:v>
      </x:c>
      <x:c r="D22" s="38">
        <x:v>6</x:v>
      </x:c>
      <x:c r="E22" s="36" t="str">
        <x:f>IF(OR(A22="",B22="",C22="",D22=""),"",A22&amp;"-"&amp;B22&amp;"-"&amp;TEXT(C22,"0000")&amp;"-"&amp;TEXT(D22,"0000"))</x:f>
        <x:v>NEX-QT-2026-0006</x:v>
      </x:c>
      <x:c r="F22" s="36" t="inlineStr">
        <x:is>
          <x:t>R0</x:t>
        </x:is>
      </x:c>
      <x:c r="G22" s="40">
        <x:v>46284</x:v>
      </x:c>
      <x:c r="H22" s="40">
        <x:v>46285</x:v>
      </x:c>
      <x:c r="I22" s="36" t="inlineStr">
        <x:is>
          <x:t>Customer</x:t>
        </x:is>
      </x:c>
      <x:c r="J22" s="36" t="inlineStr">
        <x:is>
          <x:t>Epsilon Logistics</x:t>
        </x:is>
      </x:c>
      <x:c r="K22" s="36" t="inlineStr">
        <x:is>
          <x:t>Warehouse labels and tapes (revised scope)</x:t>
        </x:is>
      </x:c>
      <x:c r="L22" s="44">
        <x:v>9100</x:v>
      </x:c>
      <x:c r="M22" s="36" t="inlineStr">
        <x:is>
          <x:t>MYR</x:t>
        </x:is>
      </x:c>
      <x:c r="N22" s="36" t="inlineStr">
        <x:is>
          <x:t>Issued</x:t>
        </x:is>
      </x:c>
      <x:c r="O22" s="36" t="inlineStr">
        <x:is>
          <x:t>Aisha R.</x:t>
        </x:is>
      </x:c>
      <x:c r="P22" s="40">
        <x:v>46320</x:v>
      </x:c>
      <x:c r="Q22" s="36">
        <x:f>IF(P22="","",P22-TODAY())</x:f>
        <x:v>20</x:v>
      </x:c>
      <x:c r="R22" s="36" t="str">
        <x:f>IF(E22="","",IF(X22="DUPLICATE","STOP — DUPLICATE",IF(OR(N22="Completed",N22="Cancelled",N22="Rejected",N22="Superseded"),"Closed",IF(P22="","No due date",IF(Q22&lt;0,"OVERDUE",IF(Q22&lt;=7,"DUE SOON","Open"))))))</x:f>
        <x:v>Open</x:v>
      </x:c>
      <x:c r="S22" s="36" t="inlineStr">
        <x:is>
          <x:t>NEX-QT-2026-0005</x:t>
        </x:is>
      </x:c>
      <x:c r="T22" s="36"/>
      <x:c r="U22" s="36"/>
      <x:c r="V22" s="42">
        <x:v>46285</x:v>
      </x:c>
      <x:c r="W22" s="36" t="inlineStr">
        <x:is>
          <x:t>Replacement for NEX-QT-2026-0005</x:t>
        </x:is>
      </x:c>
      <x:c r="X22" s="36" t="str">
        <x:f>IF(E22="","",IF(COUNTIF($E$7:$E$506,E22)&gt;1,"DUPLICATE","OK"))</x:f>
        <x:v>OK</x:v>
      </x:c>
    </x:row>
    <x:row r="23">
      <x:c r="A23" s="36" t="inlineStr">
        <x:is>
          <x:t>NEX</x:t>
        </x:is>
      </x:c>
      <x:c r="B23" s="36" t="inlineStr">
        <x:is>
          <x:t>QT</x:t>
        </x:is>
      </x:c>
      <x:c r="C23" s="38">
        <x:v>2026</x:v>
      </x:c>
      <x:c r="D23" s="38">
        <x:v>7</x:v>
      </x:c>
      <x:c r="E23" s="36" t="str">
        <x:f>IF(OR(A23="",B23="",C23="",D23=""),"",A23&amp;"-"&amp;B23&amp;"-"&amp;TEXT(C23,"0000")&amp;"-"&amp;TEXT(D23,"0000"))</x:f>
        <x:v>NEX-QT-2026-0007</x:v>
      </x:c>
      <x:c r="F23" s="36" t="inlineStr">
        <x:is>
          <x:t>R1</x:t>
        </x:is>
      </x:c>
      <x:c r="G23" s="40">
        <x:v>46293</x:v>
      </x:c>
      <x:c r="H23" s="40">
        <x:v>46295</x:v>
      </x:c>
      <x:c r="I23" s="36" t="inlineStr">
        <x:is>
          <x:t>Customer</x:t>
        </x:is>
      </x:c>
      <x:c r="J23" s="36" t="inlineStr">
        <x:is>
          <x:t>Zeta Hotel</x:t>
        </x:is>
      </x:c>
      <x:c r="K23" s="36" t="inlineStr">
        <x:is>
          <x:t>Hotel housekeeping stationery</x:t>
        </x:is>
      </x:c>
      <x:c r="L23" s="44">
        <x:v>31200</x:v>
      </x:c>
      <x:c r="M23" s="36" t="inlineStr">
        <x:is>
          <x:t>MYR</x:t>
        </x:is>
      </x:c>
      <x:c r="N23" s="36" t="inlineStr">
        <x:is>
          <x:t>Issued</x:t>
        </x:is>
      </x:c>
      <x:c r="O23" s="36" t="inlineStr">
        <x:is>
          <x:t>Aisha R.</x:t>
        </x:is>
      </x:c>
      <x:c r="P23" s="40">
        <x:v>46307</x:v>
      </x:c>
      <x:c r="Q23" s="36">
        <x:f>IF(P23="","",P23-TODAY())</x:f>
        <x:v>7</x:v>
      </x:c>
      <x:c r="R23" s="36" t="str">
        <x:f>IF(E23="","",IF(X23="DUPLICATE","STOP — DUPLICATE",IF(OR(N23="Completed",N23="Cancelled",N23="Rejected",N23="Superseded"),"Closed",IF(P23="","No due date",IF(Q23&lt;0,"OVERDUE",IF(Q23&lt;=7,"DUE SOON","Open"))))))</x:f>
        <x:v>DUE SOON</x:v>
      </x:c>
      <x:c r="S23" s="36"/>
      <x:c r="T23" s="36"/>
      <x:c r="U23" s="36"/>
      <x:c r="V23" s="42">
        <x:v>46295</x:v>
      </x:c>
      <x:c r="W23" s="36" t="inlineStr">
        <x:is>
          <x:t>R1 adds delivery to 2nd site (R0 was 28,700)</x:t>
        </x:is>
      </x:c>
      <x:c r="X23" s="36" t="str">
        <x:f>IF(E23="","",IF(COUNTIF($E$7:$E$506,E23)&gt;1,"DUPLICATE","OK"))</x:f>
        <x:v>OK</x:v>
      </x:c>
    </x:row>
    <x:row r="24">
      <x:c r="A24" s="36" t="inlineStr">
        <x:is>
          <x:t>NEX</x:t>
        </x:is>
      </x:c>
      <x:c r="B24" s="36" t="inlineStr">
        <x:is>
          <x:t>QT</x:t>
        </x:is>
      </x:c>
      <x:c r="C24" s="38">
        <x:v>2026</x:v>
      </x:c>
      <x:c r="D24" s="38">
        <x:v>8</x:v>
      </x:c>
      <x:c r="E24" s="36" t="str">
        <x:f>IF(OR(A24="",B24="",C24="",D24=""),"",A24&amp;"-"&amp;B24&amp;"-"&amp;TEXT(C24,"0000")&amp;"-"&amp;TEXT(D24,"0000"))</x:f>
        <x:v>NEX-QT-2026-0008</x:v>
      </x:c>
      <x:c r="F24" s="36" t="inlineStr">
        <x:is>
          <x:t>R0</x:t>
        </x:is>
      </x:c>
      <x:c r="G24" s="40">
        <x:v>46270</x:v>
      </x:c>
      <x:c r="H24" s="40"/>
      <x:c r="I24" s="36" t="inlineStr">
        <x:is>
          <x:t>Customer</x:t>
        </x:is>
      </x:c>
      <x:c r="J24" s="36" t="inlineStr">
        <x:is>
          <x:t>Eta Salon</x:t>
        </x:is>
      </x:c>
      <x:c r="K24" s="36" t="inlineStr">
        <x:is>
          <x:t>Salon receipts and pads</x:t>
        </x:is>
      </x:c>
      <x:c r="L24" s="44">
        <x:v>3200</x:v>
      </x:c>
      <x:c r="M24" s="36" t="inlineStr">
        <x:is>
          <x:t>MYR</x:t>
        </x:is>
      </x:c>
      <x:c r="N24" s="36" t="inlineStr">
        <x:is>
          <x:t>Cancelled</x:t>
        </x:is>
      </x:c>
      <x:c r="O24" s="36" t="inlineStr">
        <x:is>
          <x:t>Aisha R.</x:t>
        </x:is>
      </x:c>
      <x:c r="P24" s="40"/>
      <x:c r="Q24" s="36" t="str">
        <x:f>IF(P24="","",P24-TODAY())</x:f>
        <x:v/>
      </x:c>
      <x:c r="R24" s="36" t="str">
        <x:f>IF(E24="","",IF(X24="DUPLICATE","STOP — DUPLICATE",IF(OR(N24="Completed",N24="Cancelled",N24="Rejected",N24="Superseded"),"Closed",IF(P24="","No due date",IF(Q24&lt;0,"OVERDUE",IF(Q24&lt;=7,"DUE SOON","Open"))))))</x:f>
        <x:v>Closed</x:v>
      </x:c>
      <x:c r="S24" s="36"/>
      <x:c r="T24" s="36"/>
      <x:c r="U24" s="36"/>
      <x:c r="V24" s="42">
        <x:v>46277</x:v>
      </x:c>
      <x:c r="W24" s="36" t="inlineStr">
        <x:is>
          <x:t>Customer withdrew enquiry</x:t>
        </x:is>
      </x:c>
      <x:c r="X24" s="36" t="str">
        <x:f>IF(E24="","",IF(COUNTIF($E$7:$E$506,E24)&gt;1,"DUPLICATE","OK"))</x:f>
        <x:v>OK</x:v>
      </x:c>
    </x:row>
    <x:row r="25">
      <x:c r="A25" s="36" t="inlineStr">
        <x:is>
          <x:t>NEX</x:t>
        </x:is>
      </x:c>
      <x:c r="B25" s="36" t="inlineStr">
        <x:is>
          <x:t>QT</x:t>
        </x:is>
      </x:c>
      <x:c r="C25" s="38">
        <x:v>2026</x:v>
      </x:c>
      <x:c r="D25" s="38">
        <x:v>9</x:v>
      </x:c>
      <x:c r="E25" s="36" t="str">
        <x:f>IF(OR(A25="",B25="",C25="",D25=""),"",A25&amp;"-"&amp;B25&amp;"-"&amp;TEXT(C25,"0000")&amp;"-"&amp;TEXT(D25,"0000"))</x:f>
        <x:v>NEX-QT-2026-0009</x:v>
      </x:c>
      <x:c r="F25" s="36" t="inlineStr">
        <x:is>
          <x:t>R0</x:t>
        </x:is>
      </x:c>
      <x:c r="G25" s="40">
        <x:v>46298</x:v>
      </x:c>
      <x:c r="H25" s="40"/>
      <x:c r="I25" s="36"/>
      <x:c r="J25" s="36"/>
      <x:c r="K25" s="36" t="inlineStr">
        <x:is>
          <x:t>Reserved - not yet drafted</x:t>
        </x:is>
      </x:c>
      <x:c r="L25" s="44"/>
      <x:c r="M25" s="36" t="inlineStr">
        <x:is>
          <x:t>MYR</x:t>
        </x:is>
      </x:c>
      <x:c r="N25" s="36" t="inlineStr">
        <x:is>
          <x:t>Reserved</x:t>
        </x:is>
      </x:c>
      <x:c r="O25" s="36" t="inlineStr">
        <x:is>
          <x:t>Aisha R.</x:t>
        </x:is>
      </x:c>
      <x:c r="P25" s="40"/>
      <x:c r="Q25" s="36" t="str">
        <x:f>IF(P25="","",P25-TODAY())</x:f>
        <x:v/>
      </x:c>
      <x:c r="R25" s="36" t="str">
        <x:f>IF(E25="","",IF(X25="DUPLICATE","STOP — DUPLICATE",IF(OR(N25="Completed",N25="Cancelled",N25="Rejected",N25="Superseded"),"Closed",IF(P25="","No due date",IF(Q25&lt;0,"OVERDUE",IF(Q25&lt;=7,"DUE SOON","Open"))))))</x:f>
        <x:v>No due date</x:v>
      </x:c>
      <x:c r="S25" s="36"/>
      <x:c r="T25" s="36"/>
      <x:c r="U25" s="36"/>
      <x:c r="V25" s="42">
        <x:v>46298</x:v>
      </x:c>
      <x:c r="W25" s="36"/>
      <x:c r="X25" s="36" t="str">
        <x:f>IF(E25="","",IF(COUNTIF($E$7:$E$506,E25)&gt;1,"DUPLICATE","OK"))</x:f>
        <x:v>OK</x:v>
      </x:c>
    </x:row>
    <x:row r="26">
      <x:c r="A26" s="36" t="inlineStr">
        <x:is>
          <x:t>NEX</x:t>
        </x:is>
      </x:c>
      <x:c r="B26" s="36" t="inlineStr">
        <x:is>
          <x:t>QT</x:t>
        </x:is>
      </x:c>
      <x:c r="C26" s="38">
        <x:v>2025</x:v>
      </x:c>
      <x:c r="D26" s="38">
        <x:v>42</x:v>
      </x:c>
      <x:c r="E26" s="36" t="str">
        <x:f>IF(OR(A26="",B26="",C26="",D26=""),"",A26&amp;"-"&amp;B26&amp;"-"&amp;TEXT(C26,"0000")&amp;"-"&amp;TEXT(D26,"0000"))</x:f>
        <x:v>NEX-QT-2025-0042</x:v>
      </x:c>
      <x:c r="F26" s="36" t="inlineStr">
        <x:is>
          <x:t>R0</x:t>
        </x:is>
      </x:c>
      <x:c r="G26" s="40">
        <x:v>45960</x:v>
      </x:c>
      <x:c r="H26" s="40">
        <x:v>45964</x:v>
      </x:c>
      <x:c r="I26" s="36" t="inlineStr">
        <x:is>
          <x:t>Customer</x:t>
        </x:is>
      </x:c>
      <x:c r="J26" s="36" t="inlineStr">
        <x:is>
          <x:t>Alpha Tech Resources</x:t>
        </x:is>
      </x:c>
      <x:c r="K26" s="36" t="inlineStr">
        <x:is>
          <x:t>FY25 toner annual supply</x:t>
        </x:is>
      </x:c>
      <x:c r="L26" s="44">
        <x:v>6100</x:v>
      </x:c>
      <x:c r="M26" s="36" t="inlineStr">
        <x:is>
          <x:t>MYR</x:t>
        </x:is>
      </x:c>
      <x:c r="N26" s="36" t="inlineStr">
        <x:is>
          <x:t>Completed</x:t>
        </x:is>
      </x:c>
      <x:c r="O26" s="36" t="inlineStr">
        <x:is>
          <x:t>Aisha R.</x:t>
        </x:is>
      </x:c>
      <x:c r="P26" s="40">
        <x:v>45994</x:v>
      </x:c>
      <x:c r="Q26" s="36">
        <x:f>IF(P26="","",P26-TODAY())</x:f>
        <x:v>-306</x:v>
      </x:c>
      <x:c r="R26" s="36" t="str">
        <x:f>IF(E26="","",IF(X26="DUPLICATE","STOP — DUPLICATE",IF(OR(N26="Completed",N26="Cancelled",N26="Rejected",N26="Superseded"),"Closed",IF(P26="","No due date",IF(Q26&lt;0,"OVERDUE",IF(Q26&lt;=7,"DUE SOON","Open"))))))</x:f>
        <x:v>Closed</x:v>
      </x:c>
      <x:c r="S26" s="36"/>
      <x:c r="T26" s="36"/>
      <x:c r="U26" s="36"/>
      <x:c r="V26" s="42">
        <x:v>45992</x:v>
      </x:c>
      <x:c r="W26" s="36"/>
      <x:c r="X26" s="36" t="str">
        <x:f>IF(E26="","",IF(COUNTIF($E$7:$E$506,E26)&gt;1,"DUPLICATE","OK"))</x:f>
        <x:v>OK</x:v>
      </x:c>
    </x:row>
    <x:row r="27">
      <x:c r="A27" s="36" t="inlineStr">
        <x:is>
          <x:t>NEX</x:t>
        </x:is>
      </x:c>
      <x:c r="B27" s="36" t="inlineStr">
        <x:is>
          <x:t>SO</x:t>
        </x:is>
      </x:c>
      <x:c r="C27" s="38">
        <x:v>2026</x:v>
      </x:c>
      <x:c r="D27" s="38">
        <x:v>4</x:v>
      </x:c>
      <x:c r="E27" s="36" t="str">
        <x:f>IF(OR(A27="",B27="",C27="",D27=""),"",A27&amp;"-"&amp;B27&amp;"-"&amp;TEXT(C27,"0000")&amp;"-"&amp;TEXT(D27,"0000"))</x:f>
        <x:v>NEX-SO-2026-0004</x:v>
      </x:c>
      <x:c r="F27" s="36" t="inlineStr">
        <x:is>
          <x:t>R0</x:t>
        </x:is>
      </x:c>
      <x:c r="G27" s="40">
        <x:v>46297</x:v>
      </x:c>
      <x:c r="H27" s="40"/>
      <x:c r="I27" s="36" t="inlineStr">
        <x:is>
          <x:t>Customer</x:t>
        </x:is>
      </x:c>
      <x:c r="J27" s="36" t="inlineStr">
        <x:is>
          <x:t>Delta Clinic</x:t>
        </x:is>
      </x:c>
      <x:c r="K27" s="36" t="inlineStr">
        <x:is>
          <x:t>Sales order - clinic forms (draft)</x:t>
        </x:is>
      </x:c>
      <x:c r="L27" s="44">
        <x:v>22000</x:v>
      </x:c>
      <x:c r="M27" s="36" t="inlineStr">
        <x:is>
          <x:t>MYR</x:t>
        </x:is>
      </x:c>
      <x:c r="N27" s="36" t="inlineStr">
        <x:is>
          <x:t>Draft</x:t>
        </x:is>
      </x:c>
      <x:c r="O27" s="36" t="inlineStr">
        <x:is>
          <x:t>Aisha R.</x:t>
        </x:is>
      </x:c>
      <x:c r="P27" s="40"/>
      <x:c r="Q27" s="36" t="str">
        <x:f>IF(P27="","",P27-TODAY())</x:f>
        <x:v/>
      </x:c>
      <x:c r="R27" s="36" t="str">
        <x:f>IF(E27="","",IF(X27="DUPLICATE","STOP — DUPLICATE",IF(OR(N27="Completed",N27="Cancelled",N27="Rejected",N27="Superseded"),"Closed",IF(P27="","No due date",IF(Q27&lt;0,"OVERDUE",IF(Q27&lt;=7,"DUE SOON","Open"))))))</x:f>
        <x:v>No due date</x:v>
      </x:c>
      <x:c r="S27" s="36" t="inlineStr">
        <x:is>
          <x:t>NEX-QT-2026-0004</x:t>
        </x:is>
      </x:c>
      <x:c r="T27" s="36"/>
      <x:c r="U27" s="36"/>
      <x:c r="V27" s="42">
        <x:v>46297</x:v>
      </x:c>
      <x:c r="W27" s="36" t="inlineStr">
        <x:is>
          <x:t>SO-2026-0003 number unused (gap kept)</x:t>
        </x:is>
      </x:c>
      <x:c r="X27" s="36" t="str">
        <x:f>IF(E27="","",IF(COUNTIF($E$7:$E$506,E27)&gt;1,"DUPLICATE","OK"))</x:f>
        <x:v>OK</x:v>
      </x:c>
    </x:row>
    <x:row r="28">
      <x:c r="A28" s="36" t="inlineStr">
        <x:is>
          <x:t>NEX</x:t>
        </x:is>
      </x:c>
      <x:c r="B28" s="36" t="inlineStr">
        <x:is>
          <x:t>DO</x:t>
        </x:is>
      </x:c>
      <x:c r="C28" s="38">
        <x:v>2026</x:v>
      </x:c>
      <x:c r="D28" s="38">
        <x:v>3</x:v>
      </x:c>
      <x:c r="E28" s="36" t="str">
        <x:f>IF(OR(A28="",B28="",C28="",D28=""),"",A28&amp;"-"&amp;B28&amp;"-"&amp;TEXT(C28,"0000")&amp;"-"&amp;TEXT(D28,"0000"))</x:f>
        <x:v>NEX-DO-2026-0003</x:v>
      </x:c>
      <x:c r="F28" s="36" t="inlineStr">
        <x:is>
          <x:t>R0</x:t>
        </x:is>
      </x:c>
      <x:c r="G28" s="40">
        <x:v>46295</x:v>
      </x:c>
      <x:c r="H28" s="40"/>
      <x:c r="I28" s="36" t="inlineStr">
        <x:is>
          <x:t>Customer</x:t>
        </x:is>
      </x:c>
      <x:c r="J28" s="36" t="inlineStr">
        <x:is>
          <x:t>Beta Mart</x:t>
        </x:is>
      </x:c>
      <x:c r="K28" s="36" t="inlineStr">
        <x:is>
          <x:t>Delivery - pending order</x:t>
        </x:is>
      </x:c>
      <x:c r="L28" s="44"/>
      <x:c r="M28" s="36" t="inlineStr">
        <x:is>
          <x:t>MYR</x:t>
        </x:is>
      </x:c>
      <x:c r="N28" s="36" t="inlineStr">
        <x:is>
          <x:t>Under Review</x:t>
        </x:is>
      </x:c>
      <x:c r="O28" s="36" t="inlineStr">
        <x:is>
          <x:t>Store Keeper</x:t>
        </x:is>
      </x:c>
      <x:c r="P28" s="40"/>
      <x:c r="Q28" s="36" t="str">
        <x:f>IF(P28="","",P28-TODAY())</x:f>
        <x:v/>
      </x:c>
      <x:c r="R28" s="36" t="str">
        <x:f>IF(E28="","",IF(X28="DUPLICATE","STOP — DUPLICATE",IF(OR(N28="Completed",N28="Cancelled",N28="Rejected",N28="Superseded"),"Closed",IF(P28="","No due date",IF(Q28&lt;0,"OVERDUE",IF(Q28&lt;=7,"DUE SOON","Open"))))))</x:f>
        <x:v>No due date</x:v>
      </x:c>
      <x:c r="S28" s="36" t="inlineStr">
        <x:is>
          <x:t>NEX-SO-2026-0003</x:t>
        </x:is>
      </x:c>
      <x:c r="T28" s="36"/>
      <x:c r="U28" s="36"/>
      <x:c r="V28" s="42">
        <x:v>46295</x:v>
      </x:c>
      <x:c r="W28" s="36" t="inlineStr">
        <x:is>
          <x:t>Related SO not in register</x:t>
        </x:is>
      </x:c>
      <x:c r="X28" s="36" t="str">
        <x:f>IF(E28="","",IF(COUNTIF($E$7:$E$506,E28)&gt;1,"DUPLICATE","OK"))</x:f>
        <x:v>OK</x:v>
      </x:c>
    </x:row>
    <x:row r="29">
      <x:c r="A29" s="36" t="inlineStr">
        <x:is>
          <x:t>NEX</x:t>
        </x:is>
      </x:c>
      <x:c r="B29" s="36" t="inlineStr">
        <x:is>
          <x:t>INV</x:t>
        </x:is>
      </x:c>
      <x:c r="C29" s="38">
        <x:v>2026</x:v>
      </x:c>
      <x:c r="D29" s="38">
        <x:v>3</x:v>
      </x:c>
      <x:c r="E29" s="36" t="str">
        <x:f>IF(OR(A29="",B29="",C29="",D29=""),"",A29&amp;"-"&amp;B29&amp;"-"&amp;TEXT(C29,"0000")&amp;"-"&amp;TEXT(D29,"0000"))</x:f>
        <x:v>NEX-INV-2026-0003</x:v>
      </x:c>
      <x:c r="F29" s="36" t="inlineStr">
        <x:is>
          <x:t>R0</x:t>
        </x:is>
      </x:c>
      <x:c r="G29" s="40">
        <x:v>46291</x:v>
      </x:c>
      <x:c r="H29" s="40">
        <x:v>46295</x:v>
      </x:c>
      <x:c r="I29" s="36" t="inlineStr">
        <x:is>
          <x:t>Customer</x:t>
        </x:is>
      </x:c>
      <x:c r="J29" s="36" t="inlineStr">
        <x:is>
          <x:t>Gamma Learning Centre</x:t>
        </x:is>
      </x:c>
      <x:c r="K29" s="36" t="inlineStr">
        <x:is>
          <x:t>Invoice - stationery September</x:t>
        </x:is>
      </x:c>
      <x:c r="L29" s="44">
        <x:v>2100</x:v>
      </x:c>
      <x:c r="M29" s="36" t="inlineStr">
        <x:is>
          <x:t>MYR</x:t>
        </x:is>
      </x:c>
      <x:c r="N29" s="36" t="inlineStr">
        <x:is>
          <x:t>Issued</x:t>
        </x:is>
      </x:c>
      <x:c r="O29" s="36" t="inlineStr">
        <x:is>
          <x:t>Mei L.</x:t>
        </x:is>
      </x:c>
      <x:c r="P29" s="40">
        <x:v>46325</x:v>
      </x:c>
      <x:c r="Q29" s="36">
        <x:f>IF(P29="","",P29-TODAY())</x:f>
        <x:v>25</x:v>
      </x:c>
      <x:c r="R29" s="36" t="str">
        <x:f>IF(E29="","",IF(X29="DUPLICATE","STOP — DUPLICATE",IF(OR(N29="Completed",N29="Cancelled",N29="Rejected",N29="Superseded"),"Closed",IF(P29="","No due date",IF(Q29&lt;0,"OVERDUE",IF(Q29&lt;=7,"DUE SOON","Open"))))))</x:f>
        <x:v>STOP — DUPLICATE</x:v>
      </x:c>
      <x:c r="S29" s="36"/>
      <x:c r="T29" s="36"/>
      <x:c r="U29" s="36"/>
      <x:c r="V29" s="42">
        <x:v>46295</x:v>
      </x:c>
      <x:c r="W29" s="36"/>
      <x:c r="X29" s="36" t="str">
        <x:f>IF(E29="","",IF(COUNTIF($E$7:$E$506,E29)&gt;1,"DUPLICATE","OK"))</x:f>
        <x:v>DUPLICATE</x:v>
      </x:c>
    </x:row>
    <x:row r="30">
      <x:c r="A30" s="36" t="inlineStr">
        <x:is>
          <x:t>NEX</x:t>
        </x:is>
      </x:c>
      <x:c r="B30" s="36" t="inlineStr">
        <x:is>
          <x:t>INV</x:t>
        </x:is>
      </x:c>
      <x:c r="C30" s="38">
        <x:v>2026</x:v>
      </x:c>
      <x:c r="D30" s="38">
        <x:v>3</x:v>
      </x:c>
      <x:c r="E30" s="36" t="str">
        <x:f>IF(OR(A30="",B30="",C30="",D30=""),"",A30&amp;"-"&amp;B30&amp;"-"&amp;TEXT(C30,"0000")&amp;"-"&amp;TEXT(D30,"0000"))</x:f>
        <x:v>NEX-INV-2026-0003</x:v>
      </x:c>
      <x:c r="F30" s="36" t="inlineStr">
        <x:is>
          <x:t>R0</x:t>
        </x:is>
      </x:c>
      <x:c r="G30" s="40">
        <x:v>46291</x:v>
      </x:c>
      <x:c r="H30" s="40">
        <x:v>46295</x:v>
      </x:c>
      <x:c r="I30" s="36" t="inlineStr">
        <x:is>
          <x:t>Customer</x:t>
        </x:is>
      </x:c>
      <x:c r="J30" s="36" t="inlineStr">
        <x:is>
          <x:t>Delta Clinic</x:t>
        </x:is>
      </x:c>
      <x:c r="K30" s="36" t="inlineStr">
        <x:is>
          <x:t>Invoice - medical forms September</x:t>
        </x:is>
      </x:c>
      <x:c r="L30" s="44">
        <x:v>3300</x:v>
      </x:c>
      <x:c r="M30" s="36" t="inlineStr">
        <x:is>
          <x:t>MYR</x:t>
        </x:is>
      </x:c>
      <x:c r="N30" s="36" t="inlineStr">
        <x:is>
          <x:t>Issued</x:t>
        </x:is>
      </x:c>
      <x:c r="O30" s="36" t="inlineStr">
        <x:is>
          <x:t>Mei L.</x:t>
        </x:is>
      </x:c>
      <x:c r="P30" s="40">
        <x:v>46325</x:v>
      </x:c>
      <x:c r="Q30" s="36">
        <x:f>IF(P30="","",P30-TODAY())</x:f>
        <x:v>25</x:v>
      </x:c>
      <x:c r="R30" s="36" t="str">
        <x:f>IF(E30="","",IF(X30="DUPLICATE","STOP — DUPLICATE",IF(OR(N30="Completed",N30="Cancelled",N30="Rejected",N30="Superseded"),"Closed",IF(P30="","No due date",IF(Q30&lt;0,"OVERDUE",IF(Q30&lt;=7,"DUE SOON","Open"))))))</x:f>
        <x:v>STOP — DUPLICATE</x:v>
      </x:c>
      <x:c r="S30" s="36"/>
      <x:c r="T30" s="36"/>
      <x:c r="U30" s="36"/>
      <x:c r="V30" s="42">
        <x:v>46295</x:v>
      </x:c>
      <x:c r="W30" s="36" t="inlineStr">
        <x:is>
          <x:t>Same ID typed twice by mistake</x:t>
        </x:is>
      </x:c>
      <x:c r="X30" s="36" t="str">
        <x:f>IF(E30="","",IF(COUNTIF($E$7:$E$506,E30)&gt;1,"DUPLICATE","OK"))</x:f>
        <x:v>DUPLICATE</x:v>
      </x:c>
    </x:row>
    <x:row r="31">
      <x:c r="A31" s="36" t="inlineStr">
        <x:is>
          <x:t>NEX</x:t>
        </x:is>
      </x:c>
      <x:c r="B31" s="36" t="inlineStr">
        <x:is>
          <x:t>INV</x:t>
        </x:is>
      </x:c>
      <x:c r="C31" s="38">
        <x:v>2026</x:v>
      </x:c>
      <x:c r="D31" s="38">
        <x:v>4</x:v>
      </x:c>
      <x:c r="E31" s="36" t="str">
        <x:f>IF(OR(A31="",B31="",C31="",D31=""),"",A31&amp;"-"&amp;B31&amp;"-"&amp;TEXT(C31,"0000")&amp;"-"&amp;TEXT(D31,"0000"))</x:f>
        <x:v>NEX-INV-2026-0004</x:v>
      </x:c>
      <x:c r="F31" s="36" t="inlineStr">
        <x:is>
          <x:t>R0</x:t>
        </x:is>
      </x:c>
      <x:c r="G31" s="40">
        <x:v>46297</x:v>
      </x:c>
      <x:c r="H31" s="40">
        <x:v>46297</x:v>
      </x:c>
      <x:c r="I31" s="36" t="inlineStr">
        <x:is>
          <x:t>Customer</x:t>
        </x:is>
      </x:c>
      <x:c r="J31" s="36" t="inlineStr">
        <x:is>
          <x:t>Epsilon Logistics</x:t>
        </x:is>
      </x:c>
      <x:c r="K31" s="36" t="inlineStr">
        <x:is>
          <x:t>Invoice - labels and tapes</x:t>
        </x:is>
      </x:c>
      <x:c r="L31" s="44">
        <x:v>5600</x:v>
      </x:c>
      <x:c r="M31" s="36" t="inlineStr">
        <x:is>
          <x:t>MYR</x:t>
        </x:is>
      </x:c>
      <x:c r="N31" s="36" t="inlineStr">
        <x:is>
          <x:t>Issued</x:t>
        </x:is>
      </x:c>
      <x:c r="O31" s="36" t="inlineStr">
        <x:is>
          <x:t>Mei L.</x:t>
        </x:is>
      </x:c>
      <x:c r="P31" s="40">
        <x:v>46327</x:v>
      </x:c>
      <x:c r="Q31" s="36">
        <x:f>IF(P31="","",P31-TODAY())</x:f>
        <x:v>27</x:v>
      </x:c>
      <x:c r="R31" s="36" t="str">
        <x:f>IF(E31="","",IF(X31="DUPLICATE","STOP — DUPLICATE",IF(OR(N31="Completed",N31="Cancelled",N31="Rejected",N31="Superseded"),"Closed",IF(P31="","No due date",IF(Q31&lt;0,"OVERDUE",IF(Q31&lt;=7,"DUE SOON","Open"))))))</x:f>
        <x:v>Open</x:v>
      </x:c>
      <x:c r="S31" s="36"/>
      <x:c r="T31" s="36"/>
      <x:c r="U31" s="36"/>
      <x:c r="V31" s="42">
        <x:v>46297</x:v>
      </x:c>
      <x:c r="W31" s="36"/>
      <x:c r="X31" s="36" t="str">
        <x:f>IF(E31="","",IF(COUNTIF($E$7:$E$506,E31)&gt;1,"DUPLICATE","OK"))</x:f>
        <x:v>OK</x:v>
      </x:c>
    </x:row>
    <x:row r="32">
      <x:c r="A32" s="36" t="inlineStr">
        <x:is>
          <x:t>NEX</x:t>
        </x:is>
      </x:c>
      <x:c r="B32" s="36" t="inlineStr">
        <x:is>
          <x:t>PR</x:t>
        </x:is>
      </x:c>
      <x:c r="C32" s="38">
        <x:v>2026</x:v>
      </x:c>
      <x:c r="D32" s="38">
        <x:v>1</x:v>
      </x:c>
      <x:c r="E32" s="36" t="str">
        <x:f>IF(OR(A32="",B32="",C32="",D32=""),"",A32&amp;"-"&amp;B32&amp;"-"&amp;TEXT(C32,"0000")&amp;"-"&amp;TEXT(D32,"0000"))</x:f>
        <x:v>NEX-PR-2026-0001</x:v>
      </x:c>
      <x:c r="F32" s="36" t="inlineStr">
        <x:is>
          <x:t>R0</x:t>
        </x:is>
      </x:c>
      <x:c r="G32" s="40">
        <x:v>46246</x:v>
      </x:c>
      <x:c r="H32" s="40">
        <x:v>46246</x:v>
      </x:c>
      <x:c r="I32" s="36" t="inlineStr">
        <x:is>
          <x:t>Internal</x:t>
        </x:is>
      </x:c>
      <x:c r="J32" s="36" t="inlineStr">
        <x:is>
          <x:t>Internal</x:t>
        </x:is>
      </x:c>
      <x:c r="K32" s="36" t="inlineStr">
        <x:is>
          <x:t>A4 paper 200 reams</x:t>
        </x:is>
      </x:c>
      <x:c r="L32" s="44">
        <x:v>3000</x:v>
      </x:c>
      <x:c r="M32" s="36" t="inlineStr">
        <x:is>
          <x:t>MYR</x:t>
        </x:is>
      </x:c>
      <x:c r="N32" s="36" t="inlineStr">
        <x:is>
          <x:t>Completed</x:t>
        </x:is>
      </x:c>
      <x:c r="O32" s="36" t="inlineStr">
        <x:is>
          <x:t>Daniel T.</x:t>
        </x:is>
      </x:c>
      <x:c r="P32" s="40"/>
      <x:c r="Q32" s="36" t="str">
        <x:f>IF(P32="","",P32-TODAY())</x:f>
        <x:v/>
      </x:c>
      <x:c r="R32" s="36" t="str">
        <x:f>IF(E32="","",IF(X32="DUPLICATE","STOP — DUPLICATE",IF(OR(N32="Completed",N32="Cancelled",N32="Rejected",N32="Superseded"),"Closed",IF(P32="","No due date",IF(Q32&lt;0,"OVERDUE",IF(Q32&lt;=7,"DUE SOON","Open"))))))</x:f>
        <x:v>Closed</x:v>
      </x:c>
      <x:c r="S32" s="36"/>
      <x:c r="T32" s="36"/>
      <x:c r="U32" s="36"/>
      <x:c r="V32" s="42">
        <x:v>46249</x:v>
      </x:c>
      <x:c r="W32" s="36"/>
      <x:c r="X32" s="36" t="str">
        <x:f>IF(E32="","",IF(COUNTIF($E$7:$E$506,E32)&gt;1,"DUPLICATE","OK"))</x:f>
        <x:v>OK</x:v>
      </x:c>
    </x:row>
    <x:row r="33">
      <x:c r="A33" s="36" t="inlineStr">
        <x:is>
          <x:t>NEX</x:t>
        </x:is>
      </x:c>
      <x:c r="B33" s="36" t="inlineStr">
        <x:is>
          <x:t>RFQ</x:t>
        </x:is>
      </x:c>
      <x:c r="C33" s="38">
        <x:v>2026</x:v>
      </x:c>
      <x:c r="D33" s="38">
        <x:v>1</x:v>
      </x:c>
      <x:c r="E33" s="36" t="str">
        <x:f>IF(OR(A33="",B33="",C33="",D33=""),"",A33&amp;"-"&amp;B33&amp;"-"&amp;TEXT(C33,"0000")&amp;"-"&amp;TEXT(D33,"0000"))</x:f>
        <x:v>NEX-RFQ-2026-0001</x:v>
      </x:c>
      <x:c r="F33" s="36" t="inlineStr">
        <x:is>
          <x:t>R0</x:t>
        </x:is>
      </x:c>
      <x:c r="G33" s="40">
        <x:v>46247</x:v>
      </x:c>
      <x:c r="H33" s="40">
        <x:v>46247</x:v>
      </x:c>
      <x:c r="I33" s="36" t="inlineStr">
        <x:is>
          <x:t>Supplier</x:t>
        </x:is>
      </x:c>
      <x:c r="J33" s="36" t="inlineStr">
        <x:is>
          <x:t>PaperPlus Trading</x:t>
        </x:is>
      </x:c>
      <x:c r="K33" s="36" t="inlineStr">
        <x:is>
          <x:t>RFQ - A4 paper</x:t>
        </x:is>
      </x:c>
      <x:c r="L33" s="44"/>
      <x:c r="M33" s="36" t="inlineStr">
        <x:is>
          <x:t>MYR</x:t>
        </x:is>
      </x:c>
      <x:c r="N33" s="36" t="inlineStr">
        <x:is>
          <x:t>Completed</x:t>
        </x:is>
      </x:c>
      <x:c r="O33" s="36" t="inlineStr">
        <x:is>
          <x:t>Daniel T.</x:t>
        </x:is>
      </x:c>
      <x:c r="P33" s="40"/>
      <x:c r="Q33" s="36" t="str">
        <x:f>IF(P33="","",P33-TODAY())</x:f>
        <x:v/>
      </x:c>
      <x:c r="R33" s="36" t="str">
        <x:f>IF(E33="","",IF(X33="DUPLICATE","STOP — DUPLICATE",IF(OR(N33="Completed",N33="Cancelled",N33="Rejected",N33="Superseded"),"Closed",IF(P33="","No due date",IF(Q33&lt;0,"OVERDUE",IF(Q33&lt;=7,"DUE SOON","Open"))))))</x:f>
        <x:v>Closed</x:v>
      </x:c>
      <x:c r="S33" s="36" t="inlineStr">
        <x:is>
          <x:t>NEX-PR-2026-0001</x:t>
        </x:is>
      </x:c>
      <x:c r="T33" s="36" t="inlineStr">
        <x:is>
          <x:t>PPT/Q/8841</x:t>
        </x:is>
      </x:c>
      <x:c r="U33" s="36"/>
      <x:c r="V33" s="42">
        <x:v>46249</x:v>
      </x:c>
      <x:c r="W33" s="36" t="inlineStr">
        <x:is>
          <x:t>Supplier quotation reference kept in Original External Ref</x:t>
        </x:is>
      </x:c>
      <x:c r="X33" s="36" t="str">
        <x:f>IF(E33="","",IF(COUNTIF($E$7:$E$506,E33)&gt;1,"DUPLICATE","OK"))</x:f>
        <x:v>OK</x:v>
      </x:c>
    </x:row>
    <x:row r="34">
      <x:c r="A34" s="36" t="inlineStr">
        <x:is>
          <x:t>NEX</x:t>
        </x:is>
      </x:c>
      <x:c r="B34" s="36" t="inlineStr">
        <x:is>
          <x:t>QC</x:t>
        </x:is>
      </x:c>
      <x:c r="C34" s="38">
        <x:v>2026</x:v>
      </x:c>
      <x:c r="D34" s="38">
        <x:v>1</x:v>
      </x:c>
      <x:c r="E34" s="36" t="str">
        <x:f>IF(OR(A34="",B34="",C34="",D34=""),"",A34&amp;"-"&amp;B34&amp;"-"&amp;TEXT(C34,"0000")&amp;"-"&amp;TEXT(D34,"0000"))</x:f>
        <x:v>NEX-QC-2026-0001</x:v>
      </x:c>
      <x:c r="F34" s="36" t="inlineStr">
        <x:is>
          <x:t>R0</x:t>
        </x:is>
      </x:c>
      <x:c r="G34" s="40">
        <x:v>46250</x:v>
      </x:c>
      <x:c r="H34" s="40">
        <x:v>46250</x:v>
      </x:c>
      <x:c r="I34" s="36" t="inlineStr">
        <x:is>
          <x:t>Internal</x:t>
        </x:is>
      </x:c>
      <x:c r="J34" s="36" t="inlineStr">
        <x:is>
          <x:t>Internal</x:t>
        </x:is>
      </x:c>
      <x:c r="K34" s="36" t="inlineStr">
        <x:is>
          <x:t>Quotation comparison - A4 paper</x:t>
        </x:is>
      </x:c>
      <x:c r="L34" s="44"/>
      <x:c r="M34" s="36" t="inlineStr">
        <x:is>
          <x:t>MYR</x:t>
        </x:is>
      </x:c>
      <x:c r="N34" s="36" t="inlineStr">
        <x:is>
          <x:t>Completed</x:t>
        </x:is>
      </x:c>
      <x:c r="O34" s="36" t="inlineStr">
        <x:is>
          <x:t>Daniel T.</x:t>
        </x:is>
      </x:c>
      <x:c r="P34" s="40"/>
      <x:c r="Q34" s="36" t="str">
        <x:f>IF(P34="","",P34-TODAY())</x:f>
        <x:v/>
      </x:c>
      <x:c r="R34" s="36" t="str">
        <x:f>IF(E34="","",IF(X34="DUPLICATE","STOP — DUPLICATE",IF(OR(N34="Completed",N34="Cancelled",N34="Rejected",N34="Superseded"),"Closed",IF(P34="","No due date",IF(Q34&lt;0,"OVERDUE",IF(Q34&lt;=7,"DUE SOON","Open"))))))</x:f>
        <x:v>Closed</x:v>
      </x:c>
      <x:c r="S34" s="36" t="inlineStr">
        <x:is>
          <x:t>NEX-RFQ-2026-0001</x:t>
        </x:is>
      </x:c>
      <x:c r="T34" s="36"/>
      <x:c r="U34" s="36"/>
      <x:c r="V34" s="42">
        <x:v>46250</x:v>
      </x:c>
      <x:c r="W34" s="36"/>
      <x:c r="X34" s="36" t="str">
        <x:f>IF(E34="","",IF(COUNTIF($E$7:$E$506,E34)&gt;1,"DUPLICATE","OK"))</x:f>
        <x:v>OK</x:v>
      </x:c>
    </x:row>
    <x:row r="35">
      <x:c r="A35" s="36" t="inlineStr">
        <x:is>
          <x:t>NEX</x:t>
        </x:is>
      </x:c>
      <x:c r="B35" s="36" t="inlineStr">
        <x:is>
          <x:t>PO</x:t>
        </x:is>
      </x:c>
      <x:c r="C35" s="38">
        <x:v>2026</x:v>
      </x:c>
      <x:c r="D35" s="38">
        <x:v>1</x:v>
      </x:c>
      <x:c r="E35" s="36" t="str">
        <x:f>IF(OR(A35="",B35="",C35="",D35=""),"",A35&amp;"-"&amp;B35&amp;"-"&amp;TEXT(C35,"0000")&amp;"-"&amp;TEXT(D35,"0000"))</x:f>
        <x:v>NEX-PO-2026-0001</x:v>
      </x:c>
      <x:c r="F35" s="36" t="inlineStr">
        <x:is>
          <x:t>R0</x:t>
        </x:is>
      </x:c>
      <x:c r="G35" s="40">
        <x:v>46251</x:v>
      </x:c>
      <x:c r="H35" s="40">
        <x:v>46251</x:v>
      </x:c>
      <x:c r="I35" s="36" t="inlineStr">
        <x:is>
          <x:t>Supplier</x:t>
        </x:is>
      </x:c>
      <x:c r="J35" s="36" t="inlineStr">
        <x:is>
          <x:t>PaperPlus Trading</x:t>
        </x:is>
      </x:c>
      <x:c r="K35" s="36" t="inlineStr">
        <x:is>
          <x:t>Purchase order - A4 paper</x:t>
        </x:is>
      </x:c>
      <x:c r="L35" s="44">
        <x:v>2850</x:v>
      </x:c>
      <x:c r="M35" s="36" t="inlineStr">
        <x:is>
          <x:t>MYR</x:t>
        </x:is>
      </x:c>
      <x:c r="N35" s="36" t="inlineStr">
        <x:is>
          <x:t>Completed</x:t>
        </x:is>
      </x:c>
      <x:c r="O35" s="36" t="inlineStr">
        <x:is>
          <x:t>Daniel T.</x:t>
        </x:is>
      </x:c>
      <x:c r="P35" s="40"/>
      <x:c r="Q35" s="36" t="str">
        <x:f>IF(P35="","",P35-TODAY())</x:f>
        <x:v/>
      </x:c>
      <x:c r="R35" s="36" t="str">
        <x:f>IF(E35="","",IF(X35="DUPLICATE","STOP — DUPLICATE",IF(OR(N35="Completed",N35="Cancelled",N35="Rejected",N35="Superseded"),"Closed",IF(P35="","No due date",IF(Q35&lt;0,"OVERDUE",IF(Q35&lt;=7,"DUE SOON","Open"))))))</x:f>
        <x:v>Closed</x:v>
      </x:c>
      <x:c r="S35" s="36" t="inlineStr">
        <x:is>
          <x:t>NEX-QC-2026-0001</x:t>
        </x:is>
      </x:c>
      <x:c r="T35" s="36"/>
      <x:c r="U35" s="36"/>
      <x:c r="V35" s="42">
        <x:v>46264</x:v>
      </x:c>
      <x:c r="W35" s="36"/>
      <x:c r="X35" s="36" t="str">
        <x:f>IF(E35="","",IF(COUNTIF($E$7:$E$506,E35)&gt;1,"DUPLICATE","OK"))</x:f>
        <x:v>OK</x:v>
      </x:c>
    </x:row>
    <x:row r="36">
      <x:c r="A36" s="36" t="inlineStr">
        <x:is>
          <x:t>NEX</x:t>
        </x:is>
      </x:c>
      <x:c r="B36" s="36" t="inlineStr">
        <x:is>
          <x:t>GRN</x:t>
        </x:is>
      </x:c>
      <x:c r="C36" s="38">
        <x:v>2026</x:v>
      </x:c>
      <x:c r="D36" s="38">
        <x:v>1</x:v>
      </x:c>
      <x:c r="E36" s="36" t="str">
        <x:f>IF(OR(A36="",B36="",C36="",D36=""),"",A36&amp;"-"&amp;B36&amp;"-"&amp;TEXT(C36,"0000")&amp;"-"&amp;TEXT(D36,"0000"))</x:f>
        <x:v>NEX-GRN-2026-0001</x:v>
      </x:c>
      <x:c r="F36" s="36" t="inlineStr">
        <x:is>
          <x:t>R0</x:t>
        </x:is>
      </x:c>
      <x:c r="G36" s="40">
        <x:v>46264</x:v>
      </x:c>
      <x:c r="H36" s="40">
        <x:v>46264</x:v>
      </x:c>
      <x:c r="I36" s="36" t="inlineStr">
        <x:is>
          <x:t>Supplier</x:t>
        </x:is>
      </x:c>
      <x:c r="J36" s="36" t="inlineStr">
        <x:is>
          <x:t>PaperPlus Trading</x:t>
        </x:is>
      </x:c>
      <x:c r="K36" s="36" t="inlineStr">
        <x:is>
          <x:t>Goods received - A4 paper</x:t>
        </x:is>
      </x:c>
      <x:c r="L36" s="44"/>
      <x:c r="M36" s="36" t="inlineStr">
        <x:is>
          <x:t>MYR</x:t>
        </x:is>
      </x:c>
      <x:c r="N36" s="36" t="inlineStr">
        <x:is>
          <x:t>Completed</x:t>
        </x:is>
      </x:c>
      <x:c r="O36" s="36" t="inlineStr">
        <x:is>
          <x:t>Store Keeper</x:t>
        </x:is>
      </x:c>
      <x:c r="P36" s="40"/>
      <x:c r="Q36" s="36" t="str">
        <x:f>IF(P36="","",P36-TODAY())</x:f>
        <x:v/>
      </x:c>
      <x:c r="R36" s="36" t="str">
        <x:f>IF(E36="","",IF(X36="DUPLICATE","STOP — DUPLICATE",IF(OR(N36="Completed",N36="Cancelled",N36="Rejected",N36="Superseded"),"Closed",IF(P36="","No due date",IF(Q36&lt;0,"OVERDUE",IF(Q36&lt;=7,"DUE SOON","Open"))))))</x:f>
        <x:v>Closed</x:v>
      </x:c>
      <x:c r="S36" s="36" t="inlineStr">
        <x:is>
          <x:t>NEX-PO-2026-0001</x:t>
        </x:is>
      </x:c>
      <x:c r="T36" s="36"/>
      <x:c r="U36" s="36"/>
      <x:c r="V36" s="42">
        <x:v>46264</x:v>
      </x:c>
      <x:c r="W36" s="36"/>
      <x:c r="X36" s="36" t="str">
        <x:f>IF(E36="","",IF(COUNTIF($E$7:$E$506,E36)&gt;1,"DUPLICATE","OK"))</x:f>
        <x:v>OK</x:v>
      </x:c>
    </x:row>
    <x:row r="37">
      <x:c r="A37" s="36" t="inlineStr">
        <x:is>
          <x:t>NEX</x:t>
        </x:is>
      </x:c>
      <x:c r="B37" s="36" t="inlineStr">
        <x:is>
          <x:t>PV</x:t>
        </x:is>
      </x:c>
      <x:c r="C37" s="38">
        <x:v>2026</x:v>
      </x:c>
      <x:c r="D37" s="38">
        <x:v>1</x:v>
      </x:c>
      <x:c r="E37" s="36" t="str">
        <x:f>IF(OR(A37="",B37="",C37="",D37=""),"",A37&amp;"-"&amp;B37&amp;"-"&amp;TEXT(C37,"0000")&amp;"-"&amp;TEXT(D37,"0000"))</x:f>
        <x:v>NEX-PV-2026-0001</x:v>
      </x:c>
      <x:c r="F37" s="36" t="inlineStr">
        <x:is>
          <x:t>R0</x:t>
        </x:is>
      </x:c>
      <x:c r="G37" s="40">
        <x:v>46270</x:v>
      </x:c>
      <x:c r="H37" s="40"/>
      <x:c r="I37" s="36" t="inlineStr">
        <x:is>
          <x:t>Supplier</x:t>
        </x:is>
      </x:c>
      <x:c r="J37" s="36" t="inlineStr">
        <x:is>
          <x:t>PaperPlus Trading</x:t>
        </x:is>
      </x:c>
      <x:c r="K37" s="36" t="inlineStr">
        <x:is>
          <x:t>Payment voucher - A4 paper</x:t>
        </x:is>
      </x:c>
      <x:c r="L37" s="44">
        <x:v>2850</x:v>
      </x:c>
      <x:c r="M37" s="36" t="inlineStr">
        <x:is>
          <x:t>MYR</x:t>
        </x:is>
      </x:c>
      <x:c r="N37" s="36" t="inlineStr">
        <x:is>
          <x:t>Approved</x:t>
        </x:is>
      </x:c>
      <x:c r="O37" s="36" t="inlineStr">
        <x:is>
          <x:t>Mei L.</x:t>
        </x:is>
      </x:c>
      <x:c r="P37" s="40"/>
      <x:c r="Q37" s="36" t="str">
        <x:f>IF(P37="","",P37-TODAY())</x:f>
        <x:v/>
      </x:c>
      <x:c r="R37" s="36" t="str">
        <x:f>IF(E37="","",IF(X37="DUPLICATE","STOP — DUPLICATE",IF(OR(N37="Completed",N37="Cancelled",N37="Rejected",N37="Superseded"),"Closed",IF(P37="","No due date",IF(Q37&lt;0,"OVERDUE",IF(Q37&lt;=7,"DUE SOON","Open"))))))</x:f>
        <x:v>No due date</x:v>
      </x:c>
      <x:c r="S37" s="36" t="inlineStr">
        <x:is>
          <x:t>NEX-PO-2026-0001</x:t>
        </x:is>
      </x:c>
      <x:c r="T37" s="36"/>
      <x:c r="U37" s="36"/>
      <x:c r="V37" s="42">
        <x:v>46270</x:v>
      </x:c>
      <x:c r="W37" s="36"/>
      <x:c r="X37" s="36" t="str">
        <x:f>IF(E37="","",IF(COUNTIF($E$7:$E$506,E37)&gt;1,"DUPLICATE","OK"))</x:f>
        <x:v>OK</x:v>
      </x:c>
    </x:row>
    <x:row r="38">
      <x:c r="A38" s="36" t="inlineStr">
        <x:is>
          <x:t>NEX</x:t>
        </x:is>
      </x:c>
      <x:c r="B38" s="36" t="inlineStr">
        <x:is>
          <x:t>PR</x:t>
        </x:is>
      </x:c>
      <x:c r="C38" s="38">
        <x:v>2026</x:v>
      </x:c>
      <x:c r="D38" s="38">
        <x:v>2</x:v>
      </x:c>
      <x:c r="E38" s="36" t="str">
        <x:f>IF(OR(A38="",B38="",C38="",D38=""),"",A38&amp;"-"&amp;B38&amp;"-"&amp;TEXT(C38,"0000")&amp;"-"&amp;TEXT(D38,"0000"))</x:f>
        <x:v>NEX-PR-2026-0002</x:v>
      </x:c>
      <x:c r="F38" s="36" t="inlineStr">
        <x:is>
          <x:t>R0</x:t>
        </x:is>
      </x:c>
      <x:c r="G38" s="40">
        <x:v>46275</x:v>
      </x:c>
      <x:c r="H38" s="40">
        <x:v>46275</x:v>
      </x:c>
      <x:c r="I38" s="36" t="inlineStr">
        <x:is>
          <x:t>Internal</x:t>
        </x:is>
      </x:c>
      <x:c r="J38" s="36" t="inlineStr">
        <x:is>
          <x:t>Internal</x:t>
        </x:is>
      </x:c>
      <x:c r="K38" s="36" t="inlineStr">
        <x:is>
          <x:t>Toner cartridges</x:t>
        </x:is>
      </x:c>
      <x:c r="L38" s="44">
        <x:v>5400</x:v>
      </x:c>
      <x:c r="M38" s="36" t="inlineStr">
        <x:is>
          <x:t>MYR</x:t>
        </x:is>
      </x:c>
      <x:c r="N38" s="36" t="inlineStr">
        <x:is>
          <x:t>Completed</x:t>
        </x:is>
      </x:c>
      <x:c r="O38" s="36" t="inlineStr">
        <x:is>
          <x:t>Daniel T.</x:t>
        </x:is>
      </x:c>
      <x:c r="P38" s="40"/>
      <x:c r="Q38" s="36" t="str">
        <x:f>IF(P38="","",P38-TODAY())</x:f>
        <x:v/>
      </x:c>
      <x:c r="R38" s="36" t="str">
        <x:f>IF(E38="","",IF(X38="DUPLICATE","STOP — DUPLICATE",IF(OR(N38="Completed",N38="Cancelled",N38="Rejected",N38="Superseded"),"Closed",IF(P38="","No due date",IF(Q38&lt;0,"OVERDUE",IF(Q38&lt;=7,"DUE SOON","Open"))))))</x:f>
        <x:v>Closed</x:v>
      </x:c>
      <x:c r="S38" s="36"/>
      <x:c r="T38" s="36"/>
      <x:c r="U38" s="36"/>
      <x:c r="V38" s="42">
        <x:v>46277</x:v>
      </x:c>
      <x:c r="W38" s="36"/>
      <x:c r="X38" s="36" t="str">
        <x:f>IF(E38="","",IF(COUNTIF($E$7:$E$506,E38)&gt;1,"DUPLICATE","OK"))</x:f>
        <x:v>OK</x:v>
      </x:c>
    </x:row>
    <x:row r="39">
      <x:c r="A39" s="36" t="inlineStr">
        <x:is>
          <x:t>NEX</x:t>
        </x:is>
      </x:c>
      <x:c r="B39" s="36" t="inlineStr">
        <x:is>
          <x:t>PO</x:t>
        </x:is>
      </x:c>
      <x:c r="C39" s="38">
        <x:v>2026</x:v>
      </x:c>
      <x:c r="D39" s="38">
        <x:v>2</x:v>
      </x:c>
      <x:c r="E39" s="36" t="str">
        <x:f>IF(OR(A39="",B39="",C39="",D39=""),"",A39&amp;"-"&amp;B39&amp;"-"&amp;TEXT(C39,"0000")&amp;"-"&amp;TEXT(D39,"0000"))</x:f>
        <x:v>NEX-PO-2026-0002</x:v>
      </x:c>
      <x:c r="F39" s="36" t="inlineStr">
        <x:is>
          <x:t>R0</x:t>
        </x:is>
      </x:c>
      <x:c r="G39" s="40">
        <x:v>46277</x:v>
      </x:c>
      <x:c r="H39" s="40">
        <x:v>46277</x:v>
      </x:c>
      <x:c r="I39" s="36" t="inlineStr">
        <x:is>
          <x:t>Supplier</x:t>
        </x:is>
      </x:c>
      <x:c r="J39" s="36" t="inlineStr">
        <x:is>
          <x:t>TonerWorks</x:t>
        </x:is>
      </x:c>
      <x:c r="K39" s="36" t="inlineStr">
        <x:is>
          <x:t>Purchase order - toner cartridges</x:t>
        </x:is>
      </x:c>
      <x:c r="L39" s="44">
        <x:v>5400</x:v>
      </x:c>
      <x:c r="M39" s="36" t="inlineStr">
        <x:is>
          <x:t>MYR</x:t>
        </x:is>
      </x:c>
      <x:c r="N39" s="36" t="inlineStr">
        <x:is>
          <x:t>Issued</x:t>
        </x:is>
      </x:c>
      <x:c r="O39" s="36" t="inlineStr">
        <x:is>
          <x:t>Daniel T.</x:t>
        </x:is>
      </x:c>
      <x:c r="P39" s="40">
        <x:v>46310</x:v>
      </x:c>
      <x:c r="Q39" s="36">
        <x:f>IF(P39="","",P39-TODAY())</x:f>
        <x:v>10</x:v>
      </x:c>
      <x:c r="R39" s="36" t="str">
        <x:f>IF(E39="","",IF(X39="DUPLICATE","STOP — DUPLICATE",IF(OR(N39="Completed",N39="Cancelled",N39="Rejected",N39="Superseded"),"Closed",IF(P39="","No due date",IF(Q39&lt;0,"OVERDUE",IF(Q39&lt;=7,"DUE SOON","Open"))))))</x:f>
        <x:v>Open</x:v>
      </x:c>
      <x:c r="S39" s="36" t="inlineStr">
        <x:is>
          <x:t>NEX-PR-2026-0002</x:t>
        </x:is>
      </x:c>
      <x:c r="T39" s="36"/>
      <x:c r="U39" s="36"/>
      <x:c r="V39" s="42">
        <x:v>46277</x:v>
      </x:c>
      <x:c r="W39" s="36" t="inlineStr">
        <x:is>
          <x:t>Delivery expected 15 Oct</x:t>
        </x:is>
      </x:c>
      <x:c r="X39" s="36" t="str">
        <x:f>IF(E39="","",IF(COUNTIF($E$7:$E$506,E39)&gt;1,"DUPLICATE","OK"))</x:f>
        <x:v>OK</x:v>
      </x:c>
    </x:row>
    <x:row r="40">
      <x:c r="A40" s="36" t="inlineStr">
        <x:is>
          <x:t>NEX</x:t>
        </x:is>
      </x:c>
      <x:c r="B40" s="36" t="inlineStr">
        <x:is>
          <x:t>GRN</x:t>
        </x:is>
      </x:c>
      <x:c r="C40" s="38">
        <x:v>2026</x:v>
      </x:c>
      <x:c r="D40" s="38">
        <x:v>2</x:v>
      </x:c>
      <x:c r="E40" s="36" t="str">
        <x:f>IF(OR(A40="",B40="",C40="",D40=""),"",A40&amp;"-"&amp;B40&amp;"-"&amp;TEXT(C40,"0000")&amp;"-"&amp;TEXT(D40,"0000"))</x:f>
        <x:v>NEX-GRN-2026-0002</x:v>
      </x:c>
      <x:c r="F40" s="36" t="inlineStr">
        <x:is>
          <x:t>R0</x:t>
        </x:is>
      </x:c>
      <x:c r="G40" s="40">
        <x:v>46287</x:v>
      </x:c>
      <x:c r="H40" s="40">
        <x:v>46287</x:v>
      </x:c>
      <x:c r="I40" s="36" t="inlineStr">
        <x:is>
          <x:t>Supplier</x:t>
        </x:is>
      </x:c>
      <x:c r="J40" s="36" t="inlineStr">
        <x:is>
          <x:t>Omega Stationery</x:t>
        </x:is>
      </x:c>
      <x:c r="K40" s="36" t="inlineStr">
        <x:is>
          <x:t>Goods received - envelopes</x:t>
        </x:is>
      </x:c>
      <x:c r="L40" s="44">
        <x:v>1200</x:v>
      </x:c>
      <x:c r="M40" s="36" t="inlineStr">
        <x:is>
          <x:t>MYR</x:t>
        </x:is>
      </x:c>
      <x:c r="N40" s="36" t="inlineStr">
        <x:is>
          <x:t>Completed</x:t>
        </x:is>
      </x:c>
      <x:c r="O40" s="36" t="inlineStr">
        <x:is>
          <x:t>Store Keeper</x:t>
        </x:is>
      </x:c>
      <x:c r="P40" s="40"/>
      <x:c r="Q40" s="36" t="str">
        <x:f>IF(P40="","",P40-TODAY())</x:f>
        <x:v/>
      </x:c>
      <x:c r="R40" s="36" t="str">
        <x:f>IF(E40="","",IF(X40="DUPLICATE","STOP — DUPLICATE",IF(OR(N40="Completed",N40="Cancelled",N40="Rejected",N40="Superseded"),"Closed",IF(P40="","No due date",IF(Q40&lt;0,"OVERDUE",IF(Q40&lt;=7,"DUE SOON","Open"))))))</x:f>
        <x:v>Closed</x:v>
      </x:c>
      <x:c r="S40" s="36"/>
      <x:c r="T40" s="36"/>
      <x:c r="U40" s="36"/>
      <x:c r="V40" s="42">
        <x:v>46287</x:v>
      </x:c>
      <x:c r="W40" s="36" t="inlineStr">
        <x:is>
          <x:t>Delivered without PO - regularise (GRN with no PO)</x:t>
        </x:is>
      </x:c>
      <x:c r="X40" s="36" t="str">
        <x:f>IF(E40="","",IF(COUNTIF($E$7:$E$506,E40)&gt;1,"DUPLICATE","OK"))</x:f>
        <x:v>OK</x:v>
      </x:c>
    </x:row>
    <x:row r="41">
      <x:c r="A41" s="36" t="inlineStr">
        <x:is>
          <x:t>NEX</x:t>
        </x:is>
      </x:c>
      <x:c r="B41" s="36" t="inlineStr">
        <x:is>
          <x:t>PR</x:t>
        </x:is>
      </x:c>
      <x:c r="C41" s="38">
        <x:v>2026</x:v>
      </x:c>
      <x:c r="D41" s="38">
        <x:v>3</x:v>
      </x:c>
      <x:c r="E41" s="36" t="str">
        <x:f>IF(OR(A41="",B41="",C41="",D41=""),"",A41&amp;"-"&amp;B41&amp;"-"&amp;TEXT(C41,"0000")&amp;"-"&amp;TEXT(D41,"0000"))</x:f>
        <x:v>NEX-PR-2026-0003</x:v>
      </x:c>
      <x:c r="F41" s="36" t="inlineStr">
        <x:is>
          <x:t>R0</x:t>
        </x:is>
      </x:c>
      <x:c r="G41" s="40">
        <x:v>46290</x:v>
      </x:c>
      <x:c r="H41" s="40"/>
      <x:c r="I41" s="36" t="inlineStr">
        <x:is>
          <x:t>Internal</x:t>
        </x:is>
      </x:c>
      <x:c r="J41" s="36" t="inlineStr">
        <x:is>
          <x:t>Internal</x:t>
        </x:is>
      </x:c>
      <x:c r="K41" s="36" t="inlineStr">
        <x:is>
          <x:t>Replacement laptops</x:t>
        </x:is>
      </x:c>
      <x:c r="L41" s="44">
        <x:v>12800</x:v>
      </x:c>
      <x:c r="M41" s="36" t="inlineStr">
        <x:is>
          <x:t>MYR</x:t>
        </x:is>
      </x:c>
      <x:c r="N41" s="36" t="inlineStr">
        <x:is>
          <x:t>On Hold</x:t>
        </x:is>
      </x:c>
      <x:c r="O41" s="36" t="inlineStr">
        <x:is>
          <x:t>Daniel T.</x:t>
        </x:is>
      </x:c>
      <x:c r="P41" s="40"/>
      <x:c r="Q41" s="36" t="str">
        <x:f>IF(P41="","",P41-TODAY())</x:f>
        <x:v/>
      </x:c>
      <x:c r="R41" s="36" t="str">
        <x:f>IF(E41="","",IF(X41="DUPLICATE","STOP — DUPLICATE",IF(OR(N41="Completed",N41="Cancelled",N41="Rejected",N41="Superseded"),"Closed",IF(P41="","No due date",IF(Q41&lt;0,"OVERDUE",IF(Q41&lt;=7,"DUE SOON","Open"))))))</x:f>
        <x:v>No due date</x:v>
      </x:c>
      <x:c r="S41" s="36"/>
      <x:c r="T41" s="36"/>
      <x:c r="U41" s="36"/>
      <x:c r="V41" s="42">
        <x:v>46290</x:v>
      </x:c>
      <x:c r="W41" s="36" t="inlineStr">
        <x:is>
          <x:t>Waiting for budget approval</x:t>
        </x:is>
      </x:c>
      <x:c r="X41" s="36" t="str">
        <x:f>IF(E41="","",IF(COUNTIF($E$7:$E$506,E41)&gt;1,"DUPLICATE","OK"))</x:f>
        <x:v>OK</x:v>
      </x:c>
    </x:row>
    <x:row r="42">
      <x:c r="A42" s="36" t="inlineStr">
        <x:is>
          <x:t>NEX</x:t>
        </x:is>
      </x:c>
      <x:c r="B42" s="36" t="inlineStr">
        <x:is>
          <x:t>PO</x:t>
        </x:is>
      </x:c>
      <x:c r="C42" s="38">
        <x:v>2026</x:v>
      </x:c>
      <x:c r="D42" s="38">
        <x:v>3</x:v>
      </x:c>
      <x:c r="E42" s="36" t="str">
        <x:f>IF(OR(A42="",B42="",C42="",D42=""),"",A42&amp;"-"&amp;B42&amp;"-"&amp;TEXT(C42,"0000")&amp;"-"&amp;TEXT(D42,"0000"))</x:f>
        <x:v>NEX-PO-2026-0003</x:v>
      </x:c>
      <x:c r="F42" s="36" t="inlineStr">
        <x:is>
          <x:t>R0</x:t>
        </x:is>
      </x:c>
      <x:c r="G42" s="40">
        <x:v>46296</x:v>
      </x:c>
      <x:c r="H42" s="40"/>
      <x:c r="I42" s="36" t="inlineStr">
        <x:is>
          <x:t>Supplier</x:t>
        </x:is>
      </x:c>
      <x:c r="J42" s="36" t="inlineStr">
        <x:is>
          <x:t>Sample Overseas Supply</x:t>
        </x:is>
      </x:c>
      <x:c r="K42" s="36" t="inlineStr">
        <x:is>
          <x:t>Purchase order - imported binders</x:t>
        </x:is>
      </x:c>
      <x:c r="L42" s="44">
        <x:v>1800</x:v>
      </x:c>
      <x:c r="M42" s="36" t="inlineStr">
        <x:is>
          <x:t>USD</x:t>
        </x:is>
      </x:c>
      <x:c r="N42" s="36" t="inlineStr">
        <x:is>
          <x:t>Draft</x:t>
        </x:is>
      </x:c>
      <x:c r="O42" s="36" t="inlineStr">
        <x:is>
          <x:t>Daniel T.</x:t>
        </x:is>
      </x:c>
      <x:c r="P42" s="40"/>
      <x:c r="Q42" s="36" t="str">
        <x:f>IF(P42="","",P42-TODAY())</x:f>
        <x:v/>
      </x:c>
      <x:c r="R42" s="36" t="str">
        <x:f>IF(E42="","",IF(X42="DUPLICATE","STOP — DUPLICATE",IF(OR(N42="Completed",N42="Cancelled",N42="Rejected",N42="Superseded"),"Closed",IF(P42="","No due date",IF(Q42&lt;0,"OVERDUE",IF(Q42&lt;=7,"DUE SOON","Open"))))))</x:f>
        <x:v>No due date</x:v>
      </x:c>
      <x:c r="S42" s="36"/>
      <x:c r="T42" s="36"/>
      <x:c r="U42" s="36"/>
      <x:c r="V42" s="42">
        <x:v>46296</x:v>
      </x:c>
      <x:c r="W42" s="36"/>
      <x:c r="X42" s="36" t="str">
        <x:f>IF(E42="","",IF(COUNTIF($E$7:$E$506,E42)&gt;1,"DUPLICATE","OK"))</x:f>
        <x:v>OK</x:v>
      </x:c>
    </x:row>
    <x:row r="43">
      <x:c r="A43" s="36" t="inlineStr">
        <x:is>
          <x:t>NEX</x:t>
        </x:is>
      </x:c>
      <x:c r="B43" s="36" t="inlineStr">
        <x:is>
          <x:t>SE</x:t>
        </x:is>
      </x:c>
      <x:c r="C43" s="38">
        <x:v>2026</x:v>
      </x:c>
      <x:c r="D43" s="38">
        <x:v>1</x:v>
      </x:c>
      <x:c r="E43" s="36" t="str">
        <x:f>IF(OR(A43="",B43="",C43="",D43=""),"",A43&amp;"-"&amp;B43&amp;"-"&amp;TEXT(C43,"0000")&amp;"-"&amp;TEXT(D43,"0000"))</x:f>
        <x:v>NEX-SE-2026-0001</x:v>
      </x:c>
      <x:c r="F43" s="36" t="inlineStr">
        <x:is>
          <x:t>R0</x:t>
        </x:is>
      </x:c>
      <x:c r="G43" s="40">
        <x:v>46295</x:v>
      </x:c>
      <x:c r="H43" s="40">
        <x:v>46295</x:v>
      </x:c>
      <x:c r="I43" s="36" t="inlineStr">
        <x:is>
          <x:t>Supplier</x:t>
        </x:is>
      </x:c>
      <x:c r="J43" s="36" t="inlineStr">
        <x:is>
          <x:t>PaperPlus Trading</x:t>
        </x:is>
      </x:c>
      <x:c r="K43" s="36" t="inlineStr">
        <x:is>
          <x:t>Supplier evaluation - PaperPlus</x:t>
        </x:is>
      </x:c>
      <x:c r="L43" s="44"/>
      <x:c r="M43" s="36" t="inlineStr">
        <x:is>
          <x:t>MYR</x:t>
        </x:is>
      </x:c>
      <x:c r="N43" s="36" t="inlineStr">
        <x:is>
          <x:t>Completed</x:t>
        </x:is>
      </x:c>
      <x:c r="O43" s="36" t="inlineStr">
        <x:is>
          <x:t>Daniel T.</x:t>
        </x:is>
      </x:c>
      <x:c r="P43" s="40"/>
      <x:c r="Q43" s="36" t="str">
        <x:f>IF(P43="","",P43-TODAY())</x:f>
        <x:v/>
      </x:c>
      <x:c r="R43" s="36" t="str">
        <x:f>IF(E43="","",IF(X43="DUPLICATE","STOP — DUPLICATE",IF(OR(N43="Completed",N43="Cancelled",N43="Rejected",N43="Superseded"),"Closed",IF(P43="","No due date",IF(Q43&lt;0,"OVERDUE",IF(Q43&lt;=7,"DUE SOON","Open"))))))</x:f>
        <x:v>Closed</x:v>
      </x:c>
      <x:c r="S43" s="36"/>
      <x:c r="T43" s="36"/>
      <x:c r="U43" s="36"/>
      <x:c r="V43" s="42">
        <x:v>46295</x:v>
      </x:c>
      <x:c r="W43" s="36"/>
      <x:c r="X43" s="36" t="str">
        <x:f>IF(E43="","",IF(COUNTIF($E$7:$E$506,E43)&gt;1,"DUPLICATE","OK"))</x:f>
        <x:v>OK</x:v>
      </x:c>
    </x:row>
    <x:row r="44">
      <x:c r="A44" s="36" t="inlineStr">
        <x:is>
          <x:t>NEX</x:t>
        </x:is>
      </x:c>
      <x:c r="B44" s="36" t="inlineStr">
        <x:is>
          <x:t>BR</x:t>
        </x:is>
      </x:c>
      <x:c r="C44" s="38">
        <x:v>2026</x:v>
      </x:c>
      <x:c r="D44" s="38">
        <x:v>1</x:v>
      </x:c>
      <x:c r="E44" s="36" t="str">
        <x:f>IF(OR(A44="",B44="",C44="",D44=""),"",A44&amp;"-"&amp;B44&amp;"-"&amp;TEXT(C44,"0000")&amp;"-"&amp;TEXT(D44,"0000"))</x:f>
        <x:v>NEX-BR-2026-0001</x:v>
      </x:c>
      <x:c r="F44" s="36" t="inlineStr">
        <x:is>
          <x:t>R0</x:t>
        </x:is>
      </x:c>
      <x:c r="G44" s="40">
        <x:v>46268</x:v>
      </x:c>
      <x:c r="H44" s="40">
        <x:v>46270</x:v>
      </x:c>
      <x:c r="I44" s="36" t="inlineStr">
        <x:is>
          <x:t>Bank</x:t>
        </x:is>
      </x:c>
      <x:c r="J44" s="36" t="inlineStr">
        <x:is>
          <x:t>Sample Bank Berhad</x:t>
        </x:is>
      </x:c>
      <x:c r="K44" s="36" t="inlineStr">
        <x:is>
          <x:t>Bank reconciliation - August 2026</x:t>
        </x:is>
      </x:c>
      <x:c r="L44" s="44"/>
      <x:c r="M44" s="36" t="inlineStr">
        <x:is>
          <x:t>MYR</x:t>
        </x:is>
      </x:c>
      <x:c r="N44" s="36" t="inlineStr">
        <x:is>
          <x:t>Completed</x:t>
        </x:is>
      </x:c>
      <x:c r="O44" s="36" t="inlineStr">
        <x:is>
          <x:t>Mei L.</x:t>
        </x:is>
      </x:c>
      <x:c r="P44" s="40"/>
      <x:c r="Q44" s="36" t="str">
        <x:f>IF(P44="","",P44-TODAY())</x:f>
        <x:v/>
      </x:c>
      <x:c r="R44" s="36" t="str">
        <x:f>IF(E44="","",IF(X44="DUPLICATE","STOP — DUPLICATE",IF(OR(N44="Completed",N44="Cancelled",N44="Rejected",N44="Superseded"),"Closed",IF(P44="","No due date",IF(Q44&lt;0,"OVERDUE",IF(Q44&lt;=7,"DUE SOON","Open"))))))</x:f>
        <x:v>Closed</x:v>
      </x:c>
      <x:c r="S44" s="36"/>
      <x:c r="T44" s="36"/>
      <x:c r="U44" s="36"/>
      <x:c r="V44" s="42">
        <x:v>46270</x:v>
      </x:c>
      <x:c r="W44" s="36"/>
      <x:c r="X44" s="36" t="str">
        <x:f>IF(E44="","",IF(COUNTIF($E$7:$E$506,E44)&gt;1,"DUPLICATE","OK"))</x:f>
        <x:v>OK</x:v>
      </x:c>
    </x:row>
    <x:row r="45">
      <x:c r="A45" s="36" t="inlineStr">
        <x:is>
          <x:t>NEX</x:t>
        </x:is>
      </x:c>
      <x:c r="B45" s="36" t="inlineStr">
        <x:is>
          <x:t>BR</x:t>
        </x:is>
      </x:c>
      <x:c r="C45" s="38">
        <x:v>2026</x:v>
      </x:c>
      <x:c r="D45" s="38">
        <x:v>2</x:v>
      </x:c>
      <x:c r="E45" s="36" t="str">
        <x:f>IF(OR(A45="",B45="",C45="",D45=""),"",A45&amp;"-"&amp;B45&amp;"-"&amp;TEXT(C45,"0000")&amp;"-"&amp;TEXT(D45,"0000"))</x:f>
        <x:v>NEX-BR-2026-0002</x:v>
      </x:c>
      <x:c r="F45" s="36" t="inlineStr">
        <x:is>
          <x:t>R0</x:t>
        </x:is>
      </x:c>
      <x:c r="G45" s="40">
        <x:v>46297</x:v>
      </x:c>
      <x:c r="H45" s="40"/>
      <x:c r="I45" s="36" t="inlineStr">
        <x:is>
          <x:t>Bank</x:t>
        </x:is>
      </x:c>
      <x:c r="J45" s="36" t="inlineStr">
        <x:is>
          <x:t>Sample Bank Berhad</x:t>
        </x:is>
      </x:c>
      <x:c r="K45" s="36" t="inlineStr">
        <x:is>
          <x:t>Bank reconciliation - September 2026</x:t>
        </x:is>
      </x:c>
      <x:c r="L45" s="44"/>
      <x:c r="M45" s="36" t="inlineStr">
        <x:is>
          <x:t>MYR</x:t>
        </x:is>
      </x:c>
      <x:c r="N45" s="36" t="inlineStr">
        <x:is>
          <x:t>Draft</x:t>
        </x:is>
      </x:c>
      <x:c r="O45" s="36" t="inlineStr">
        <x:is>
          <x:t>Mei L.</x:t>
        </x:is>
      </x:c>
      <x:c r="P45" s="40">
        <x:v>46305</x:v>
      </x:c>
      <x:c r="Q45" s="36">
        <x:f>IF(P45="","",P45-TODAY())</x:f>
        <x:v>5</x:v>
      </x:c>
      <x:c r="R45" s="36" t="str">
        <x:f>IF(E45="","",IF(X45="DUPLICATE","STOP — DUPLICATE",IF(OR(N45="Completed",N45="Cancelled",N45="Rejected",N45="Superseded"),"Closed",IF(P45="","No due date",IF(Q45&lt;0,"OVERDUE",IF(Q45&lt;=7,"DUE SOON","Open"))))))</x:f>
        <x:v>DUE SOON</x:v>
      </x:c>
      <x:c r="S45" s="36"/>
      <x:c r="T45" s="36"/>
      <x:c r="U45" s="36" t="inlineStr">
        <x:is>
          <x:t>Documents/NEX/Finance/NEX-BR-2026-0002_bank_statement_2026-09.csv</x:t>
        </x:is>
      </x:c>
      <x:c r="V45" s="42">
        <x:v>46297</x:v>
      </x:c>
      <x:c r="W45" s="36" t="inlineStr">
        <x:is>
          <x:t>Bank statement attached</x:t>
        </x:is>
      </x:c>
      <x:c r="X45" s="36" t="str">
        <x:f>IF(E45="","",IF(COUNTIF($E$7:$E$506,E45)&gt;1,"DUPLICATE","OK"))</x:f>
        <x:v>OK</x:v>
      </x:c>
    </x:row>
    <x:row r="46">
      <x:c r="A46" s="36" t="inlineStr">
        <x:is>
          <x:t>NEX</x:t>
        </x:is>
      </x:c>
      <x:c r="B46" s="36" t="inlineStr">
        <x:is>
          <x:t>EC</x:t>
        </x:is>
      </x:c>
      <x:c r="C46" s="38">
        <x:v>2026</x:v>
      </x:c>
      <x:c r="D46" s="38">
        <x:v>1</x:v>
      </x:c>
      <x:c r="E46" s="36" t="str">
        <x:f>IF(OR(A46="",B46="",C46="",D46=""),"",A46&amp;"-"&amp;B46&amp;"-"&amp;TEXT(C46,"0000")&amp;"-"&amp;TEXT(D46,"0000"))</x:f>
        <x:v>NEX-EC-2026-0001</x:v>
      </x:c>
      <x:c r="F46" s="36" t="inlineStr">
        <x:is>
          <x:t>R0</x:t>
        </x:is>
      </x:c>
      <x:c r="G46" s="40">
        <x:v>46292</x:v>
      </x:c>
      <x:c r="H46" s="40">
        <x:v>46292</x:v>
      </x:c>
      <x:c r="I46" s="36" t="inlineStr">
        <x:is>
          <x:t>Employee</x:t>
        </x:is>
      </x:c>
      <x:c r="J46" s="36" t="inlineStr">
        <x:is>
          <x:t>Staff Member 04</x:t>
        </x:is>
      </x:c>
      <x:c r="K46" s="36" t="inlineStr">
        <x:is>
          <x:t>Expense claim - client visit</x:t>
        </x:is>
      </x:c>
      <x:c r="L46" s="44">
        <x:v>380.5</x:v>
      </x:c>
      <x:c r="M46" s="36" t="inlineStr">
        <x:is>
          <x:t>MYR</x:t>
        </x:is>
      </x:c>
      <x:c r="N46" s="36" t="inlineStr">
        <x:is>
          <x:t>Under Review</x:t>
        </x:is>
      </x:c>
      <x:c r="O46" s="36" t="inlineStr">
        <x:is>
          <x:t>Mei L.</x:t>
        </x:is>
      </x:c>
      <x:c r="P46" s="40"/>
      <x:c r="Q46" s="36" t="str">
        <x:f>IF(P46="","",P46-TODAY())</x:f>
        <x:v/>
      </x:c>
      <x:c r="R46" s="36" t="str">
        <x:f>IF(E46="","",IF(X46="DUPLICATE","STOP — DUPLICATE",IF(OR(N46="Completed",N46="Cancelled",N46="Rejected",N46="Superseded"),"Closed",IF(P46="","No due date",IF(Q46&lt;0,"OVERDUE",IF(Q46&lt;=7,"DUE SOON","Open"))))))</x:f>
        <x:v>No due date</x:v>
      </x:c>
      <x:c r="S46" s="36"/>
      <x:c r="T46" s="36"/>
      <x:c r="U46" s="36"/>
      <x:c r="V46" s="42">
        <x:v>46292</x:v>
      </x:c>
      <x:c r="W46" s="36"/>
      <x:c r="X46" s="36" t="str">
        <x:f>IF(E46="","",IF(COUNTIF($E$7:$E$506,E46)&gt;1,"DUPLICATE","OK"))</x:f>
        <x:v>OK</x:v>
      </x:c>
    </x:row>
    <x:row r="47">
      <x:c r="A47" s="36" t="inlineStr">
        <x:is>
          <x:t>NEX</x:t>
        </x:is>
      </x:c>
      <x:c r="B47" s="36" t="inlineStr">
        <x:is>
          <x:t>PCV</x:t>
        </x:is>
      </x:c>
      <x:c r="C47" s="38">
        <x:v>2026</x:v>
      </x:c>
      <x:c r="D47" s="38">
        <x:v>1</x:v>
      </x:c>
      <x:c r="E47" s="36" t="str">
        <x:f>IF(OR(A47="",B47="",C47="",D47=""),"",A47&amp;"-"&amp;B47&amp;"-"&amp;TEXT(C47,"0000")&amp;"-"&amp;TEXT(D47,"0000"))</x:f>
        <x:v>NEX-PCV-2026-0001</x:v>
      </x:c>
      <x:c r="F47" s="36" t="inlineStr">
        <x:is>
          <x:t>R0</x:t>
        </x:is>
      </x:c>
      <x:c r="G47" s="40">
        <x:v>46283</x:v>
      </x:c>
      <x:c r="H47" s="40">
        <x:v>46283</x:v>
      </x:c>
      <x:c r="I47" s="36" t="inlineStr">
        <x:is>
          <x:t>Employee</x:t>
        </x:is>
      </x:c>
      <x:c r="J47" s="36" t="inlineStr">
        <x:is>
          <x:t>Staff Member 05</x:t>
        </x:is>
      </x:c>
      <x:c r="K47" s="36" t="inlineStr">
        <x:is>
          <x:t>Petty cash - courier</x:t>
        </x:is>
      </x:c>
      <x:c r="L47" s="44">
        <x:v>85</x:v>
      </x:c>
      <x:c r="M47" s="36" t="inlineStr">
        <x:is>
          <x:t>MYR</x:t>
        </x:is>
      </x:c>
      <x:c r="N47" s="36" t="inlineStr">
        <x:is>
          <x:t>Completed</x:t>
        </x:is>
      </x:c>
      <x:c r="O47" s="36" t="inlineStr">
        <x:is>
          <x:t>Mei L.</x:t>
        </x:is>
      </x:c>
      <x:c r="P47" s="40"/>
      <x:c r="Q47" s="36" t="str">
        <x:f>IF(P47="","",P47-TODAY())</x:f>
        <x:v/>
      </x:c>
      <x:c r="R47" s="36" t="str">
        <x:f>IF(E47="","",IF(X47="DUPLICATE","STOP — DUPLICATE",IF(OR(N47="Completed",N47="Cancelled",N47="Rejected",N47="Superseded"),"Closed",IF(P47="","No due date",IF(Q47&lt;0,"OVERDUE",IF(Q47&lt;=7,"DUE SOON","Open"))))))</x:f>
        <x:v>Closed</x:v>
      </x:c>
      <x:c r="S47" s="36"/>
      <x:c r="T47" s="36"/>
      <x:c r="U47" s="36"/>
      <x:c r="V47" s="42">
        <x:v>46283</x:v>
      </x:c>
      <x:c r="W47" s="36"/>
      <x:c r="X47" s="36" t="str">
        <x:f>IF(E47="","",IF(COUNTIF($E$7:$E$506,E47)&gt;1,"DUPLICATE","OK"))</x:f>
        <x:v>OK</x:v>
      </x:c>
    </x:row>
    <x:row r="48">
      <x:c r="A48" s="36" t="inlineStr">
        <x:is>
          <x:t>NEX</x:t>
        </x:is>
      </x:c>
      <x:c r="B48" s="36" t="inlineStr">
        <x:is>
          <x:t>JV</x:t>
        </x:is>
      </x:c>
      <x:c r="C48" s="38">
        <x:v>2026</x:v>
      </x:c>
      <x:c r="D48" s="38">
        <x:v>1</x:v>
      </x:c>
      <x:c r="E48" s="36" t="str">
        <x:f>IF(OR(A48="",B48="",C48="",D48=""),"",A48&amp;"-"&amp;B48&amp;"-"&amp;TEXT(C48,"0000")&amp;"-"&amp;TEXT(D48,"0000"))</x:f>
        <x:v>NEX-JV-2026-0001</x:v>
      </x:c>
      <x:c r="F48" s="36" t="inlineStr">
        <x:is>
          <x:t>R0</x:t>
        </x:is>
      </x:c>
      <x:c r="G48" s="40">
        <x:v>46295</x:v>
      </x:c>
      <x:c r="H48" s="40">
        <x:v>46295</x:v>
      </x:c>
      <x:c r="I48" s="36" t="inlineStr">
        <x:is>
          <x:t>Internal</x:t>
        </x:is>
      </x:c>
      <x:c r="J48" s="36" t="inlineStr">
        <x:is>
          <x:t>Internal</x:t>
        </x:is>
      </x:c>
      <x:c r="K48" s="36" t="inlineStr">
        <x:is>
          <x:t>Journal - accrual adjustment</x:t>
        </x:is>
      </x:c>
      <x:c r="L48" s="44">
        <x:v>1200</x:v>
      </x:c>
      <x:c r="M48" s="36" t="inlineStr">
        <x:is>
          <x:t>MYR</x:t>
        </x:is>
      </x:c>
      <x:c r="N48" s="36" t="inlineStr">
        <x:is>
          <x:t>Approved</x:t>
        </x:is>
      </x:c>
      <x:c r="O48" s="36" t="inlineStr">
        <x:is>
          <x:t>Mei L.</x:t>
        </x:is>
      </x:c>
      <x:c r="P48" s="40"/>
      <x:c r="Q48" s="36" t="str">
        <x:f>IF(P48="","",P48-TODAY())</x:f>
        <x:v/>
      </x:c>
      <x:c r="R48" s="36" t="str">
        <x:f>IF(E48="","",IF(X48="DUPLICATE","STOP — DUPLICATE",IF(OR(N48="Completed",N48="Cancelled",N48="Rejected",N48="Superseded"),"Closed",IF(P48="","No due date",IF(Q48&lt;0,"OVERDUE",IF(Q48&lt;=7,"DUE SOON","Open"))))))</x:f>
        <x:v>No due date</x:v>
      </x:c>
      <x:c r="S48" s="36"/>
      <x:c r="T48" s="36"/>
      <x:c r="U48" s="36"/>
      <x:c r="V48" s="42">
        <x:v>46295</x:v>
      </x:c>
      <x:c r="W48" s="36"/>
      <x:c r="X48" s="36" t="str">
        <x:f>IF(E48="","",IF(COUNTIF($E$7:$E$506,E48)&gt;1,"DUPLICATE","OK"))</x:f>
        <x:v>OK</x:v>
      </x:c>
    </x:row>
    <x:row r="49">
      <x:c r="A49" s="36" t="inlineStr">
        <x:is>
          <x:t>NEX</x:t>
        </x:is>
      </x:c>
      <x:c r="B49" s="36" t="inlineStr">
        <x:is>
          <x:t>EMP</x:t>
        </x:is>
      </x:c>
      <x:c r="C49" s="38">
        <x:v>2026</x:v>
      </x:c>
      <x:c r="D49" s="38">
        <x:v>1</x:v>
      </x:c>
      <x:c r="E49" s="36" t="str">
        <x:f>IF(OR(A49="",B49="",C49="",D49=""),"",A49&amp;"-"&amp;B49&amp;"-"&amp;TEXT(C49,"0000")&amp;"-"&amp;TEXT(D49,"0000"))</x:f>
        <x:v>NEX-EMP-2026-0001</x:v>
      </x:c>
      <x:c r="F49" s="36" t="inlineStr">
        <x:is>
          <x:t>R0</x:t>
        </x:is>
      </x:c>
      <x:c r="G49" s="40">
        <x:v>46294</x:v>
      </x:c>
      <x:c r="H49" s="40">
        <x:v>46295</x:v>
      </x:c>
      <x:c r="I49" s="36" t="inlineStr">
        <x:is>
          <x:t>Employee</x:t>
        </x:is>
      </x:c>
      <x:c r="J49" s="36" t="inlineStr">
        <x:is>
          <x:t>Staff Member 07</x:t>
        </x:is>
      </x:c>
      <x:c r="K49" s="36" t="inlineStr">
        <x:is>
          <x:t>New hire - Sales Executive</x:t>
        </x:is>
      </x:c>
      <x:c r="L49" s="44"/>
      <x:c r="M49" s="36" t="inlineStr">
        <x:is>
          <x:t>MYR</x:t>
        </x:is>
      </x:c>
      <x:c r="N49" s="36" t="inlineStr">
        <x:is>
          <x:t>Approved</x:t>
        </x:is>
      </x:c>
      <x:c r="O49" s="36" t="inlineStr">
        <x:is>
          <x:t>HR Admin</x:t>
        </x:is>
      </x:c>
      <x:c r="P49" s="40"/>
      <x:c r="Q49" s="36" t="str">
        <x:f>IF(P49="","",P49-TODAY())</x:f>
        <x:v/>
      </x:c>
      <x:c r="R49" s="36" t="str">
        <x:f>IF(E49="","",IF(X49="DUPLICATE","STOP — DUPLICATE",IF(OR(N49="Completed",N49="Cancelled",N49="Rejected",N49="Superseded"),"Closed",IF(P49="","No due date",IF(Q49&lt;0,"OVERDUE",IF(Q49&lt;=7,"DUE SOON","Open"))))))</x:f>
        <x:v>No due date</x:v>
      </x:c>
      <x:c r="S49" s="36"/>
      <x:c r="T49" s="36"/>
      <x:c r="U49" s="36" t="inlineStr">
        <x:is>
          <x:t>Documents/NEX/HR/NEX-EMP-2026-0001_Offer_Letter.docx</x:t>
        </x:is>
      </x:c>
      <x:c r="V49" s="42">
        <x:v>46295</x:v>
      </x:c>
      <x:c r="W49" s="36"/>
      <x:c r="X49" s="36" t="str">
        <x:f>IF(E49="","",IF(COUNTIF($E$7:$E$506,E49)&gt;1,"DUPLICATE","OK"))</x:f>
        <x:v>OK</x:v>
      </x:c>
    </x:row>
    <x:row r="50">
      <x:c r="A50" s="36" t="inlineStr">
        <x:is>
          <x:t>NEX</x:t>
        </x:is>
      </x:c>
      <x:c r="B50" s="36" t="inlineStr">
        <x:is>
          <x:t>LV</x:t>
        </x:is>
      </x:c>
      <x:c r="C50" s="38">
        <x:v>2026</x:v>
      </x:c>
      <x:c r="D50" s="38">
        <x:v>1</x:v>
      </x:c>
      <x:c r="E50" s="36" t="str">
        <x:f>IF(OR(A50="",B50="",C50="",D50=""),"",A50&amp;"-"&amp;B50&amp;"-"&amp;TEXT(C50,"0000")&amp;"-"&amp;TEXT(D50,"0000"))</x:f>
        <x:v>NEX-LV-2026-0001</x:v>
      </x:c>
      <x:c r="F50" s="36" t="inlineStr">
        <x:is>
          <x:t>R0</x:t>
        </x:is>
      </x:c>
      <x:c r="G50" s="40">
        <x:v>46285</x:v>
      </x:c>
      <x:c r="H50" s="40">
        <x:v>46285</x:v>
      </x:c>
      <x:c r="I50" s="36" t="inlineStr">
        <x:is>
          <x:t>Employee</x:t>
        </x:is>
      </x:c>
      <x:c r="J50" s="36" t="inlineStr">
        <x:is>
          <x:t>Staff Member 02</x:t>
        </x:is>
      </x:c>
      <x:c r="K50" s="36" t="inlineStr">
        <x:is>
          <x:t>Annual leave 12-16 Oct</x:t>
        </x:is>
      </x:c>
      <x:c r="L50" s="44"/>
      <x:c r="M50" s="36" t="inlineStr">
        <x:is>
          <x:t>MYR</x:t>
        </x:is>
      </x:c>
      <x:c r="N50" s="36" t="inlineStr">
        <x:is>
          <x:t>Approved</x:t>
        </x:is>
      </x:c>
      <x:c r="O50" s="36" t="inlineStr">
        <x:is>
          <x:t>HR Admin</x:t>
        </x:is>
      </x:c>
      <x:c r="P50" s="40"/>
      <x:c r="Q50" s="36" t="str">
        <x:f>IF(P50="","",P50-TODAY())</x:f>
        <x:v/>
      </x:c>
      <x:c r="R50" s="36" t="str">
        <x:f>IF(E50="","",IF(X50="DUPLICATE","STOP — DUPLICATE",IF(OR(N50="Completed",N50="Cancelled",N50="Rejected",N50="Superseded"),"Closed",IF(P50="","No due date",IF(Q50&lt;0,"OVERDUE",IF(Q50&lt;=7,"DUE SOON","Open"))))))</x:f>
        <x:v>No due date</x:v>
      </x:c>
      <x:c r="S50" s="36"/>
      <x:c r="T50" s="36"/>
      <x:c r="U50" s="36"/>
      <x:c r="V50" s="42">
        <x:v>46286</x:v>
      </x:c>
      <x:c r="W50" s="36"/>
      <x:c r="X50" s="36" t="str">
        <x:f>IF(E50="","",IF(COUNTIF($E$7:$E$506,E50)&gt;1,"DUPLICATE","OK"))</x:f>
        <x:v>OK</x:v>
      </x:c>
    </x:row>
    <x:row r="51">
      <x:c r="A51" s="36" t="inlineStr">
        <x:is>
          <x:t>NEX</x:t>
        </x:is>
      </x:c>
      <x:c r="B51" s="36" t="inlineStr">
        <x:is>
          <x:t>LV</x:t>
        </x:is>
      </x:c>
      <x:c r="C51" s="38">
        <x:v>2026</x:v>
      </x:c>
      <x:c r="D51" s="38">
        <x:v>2</x:v>
      </x:c>
      <x:c r="E51" s="36" t="str">
        <x:f>IF(OR(A51="",B51="",C51="",D51=""),"",A51&amp;"-"&amp;B51&amp;"-"&amp;TEXT(C51,"0000")&amp;"-"&amp;TEXT(D51,"0000"))</x:f>
        <x:v>NEX-LV-2026-0002</x:v>
      </x:c>
      <x:c r="F51" s="36" t="inlineStr">
        <x:is>
          <x:t>R0</x:t>
        </x:is>
      </x:c>
      <x:c r="G51" s="40">
        <x:v>46296</x:v>
      </x:c>
      <x:c r="H51" s="40"/>
      <x:c r="I51" s="36" t="inlineStr">
        <x:is>
          <x:t>Employee</x:t>
        </x:is>
      </x:c>
      <x:c r="J51" s="36" t="inlineStr">
        <x:is>
          <x:t>Staff Member 03</x:t>
        </x:is>
      </x:c>
      <x:c r="K51" s="36" t="inlineStr">
        <x:is>
          <x:t>Leave application</x:t>
        </x:is>
      </x:c>
      <x:c r="L51" s="44"/>
      <x:c r="M51" s="36" t="inlineStr">
        <x:is>
          <x:t>MYR</x:t>
        </x:is>
      </x:c>
      <x:c r="N51" s="36" t="inlineStr">
        <x:is>
          <x:t>Under Review</x:t>
        </x:is>
      </x:c>
      <x:c r="O51" s="36" t="inlineStr">
        <x:is>
          <x:t>HR Admin</x:t>
        </x:is>
      </x:c>
      <x:c r="P51" s="40"/>
      <x:c r="Q51" s="36" t="str">
        <x:f>IF(P51="","",P51-TODAY())</x:f>
        <x:v/>
      </x:c>
      <x:c r="R51" s="36" t="str">
        <x:f>IF(E51="","",IF(X51="DUPLICATE","STOP — DUPLICATE",IF(OR(N51="Completed",N51="Cancelled",N51="Rejected",N51="Superseded"),"Closed",IF(P51="","No due date",IF(Q51&lt;0,"OVERDUE",IF(Q51&lt;=7,"DUE SOON","Open"))))))</x:f>
        <x:v>No due date</x:v>
      </x:c>
      <x:c r="S51" s="36"/>
      <x:c r="T51" s="36"/>
      <x:c r="U51" s="36"/>
      <x:c r="V51" s="42">
        <x:v>46296</x:v>
      </x:c>
      <x:c r="W51" s="36"/>
      <x:c r="X51" s="36" t="str">
        <x:f>IF(E51="","",IF(COUNTIF($E$7:$E$506,E51)&gt;1,"DUPLICATE","OK"))</x:f>
        <x:v>OK</x:v>
      </x:c>
    </x:row>
    <x:row r="52">
      <x:c r="A52" s="36" t="inlineStr">
        <x:is>
          <x:t>NEX</x:t>
        </x:is>
      </x:c>
      <x:c r="B52" s="36" t="inlineStr">
        <x:is>
          <x:t>TS</x:t>
        </x:is>
      </x:c>
      <x:c r="C52" s="38">
        <x:v>2026</x:v>
      </x:c>
      <x:c r="D52" s="38">
        <x:v>1</x:v>
      </x:c>
      <x:c r="E52" s="36" t="str">
        <x:f>IF(OR(A52="",B52="",C52="",D52=""),"",A52&amp;"-"&amp;B52&amp;"-"&amp;TEXT(C52,"0000")&amp;"-"&amp;TEXT(D52,"0000"))</x:f>
        <x:v>NEX-TS-2026-0001</x:v>
      </x:c>
      <x:c r="F52" s="36" t="inlineStr">
        <x:is>
          <x:t>R0</x:t>
        </x:is>
      </x:c>
      <x:c r="G52" s="40">
        <x:v>46296</x:v>
      </x:c>
      <x:c r="H52" s="40">
        <x:v>46296</x:v>
      </x:c>
      <x:c r="I52" s="36" t="inlineStr">
        <x:is>
          <x:t>Employee</x:t>
        </x:is>
      </x:c>
      <x:c r="J52" s="36" t="inlineStr">
        <x:is>
          <x:t>Staff Member 02</x:t>
        </x:is>
      </x:c>
      <x:c r="K52" s="36" t="inlineStr">
        <x:is>
          <x:t>Timesheet September 2026</x:t>
        </x:is>
      </x:c>
      <x:c r="L52" s="44"/>
      <x:c r="M52" s="36" t="inlineStr">
        <x:is>
          <x:t>MYR</x:t>
        </x:is>
      </x:c>
      <x:c r="N52" s="36" t="inlineStr">
        <x:is>
          <x:t>Completed</x:t>
        </x:is>
      </x:c>
      <x:c r="O52" s="36" t="inlineStr">
        <x:is>
          <x:t>HR Admin</x:t>
        </x:is>
      </x:c>
      <x:c r="P52" s="40"/>
      <x:c r="Q52" s="36" t="str">
        <x:f>IF(P52="","",P52-TODAY())</x:f>
        <x:v/>
      </x:c>
      <x:c r="R52" s="36" t="str">
        <x:f>IF(E52="","",IF(X52="DUPLICATE","STOP — DUPLICATE",IF(OR(N52="Completed",N52="Cancelled",N52="Rejected",N52="Superseded"),"Closed",IF(P52="","No due date",IF(Q52&lt;0,"OVERDUE",IF(Q52&lt;=7,"DUE SOON","Open"))))))</x:f>
        <x:v>Closed</x:v>
      </x:c>
      <x:c r="S52" s="36"/>
      <x:c r="T52" s="36"/>
      <x:c r="U52" s="36"/>
      <x:c r="V52" s="42">
        <x:v>46296</x:v>
      </x:c>
      <x:c r="W52" s="36"/>
      <x:c r="X52" s="36" t="str">
        <x:f>IF(E52="","",IF(COUNTIF($E$7:$E$506,E52)&gt;1,"DUPLICATE","OK"))</x:f>
        <x:v>OK</x:v>
      </x:c>
    </x:row>
    <x:row r="53">
      <x:c r="A53" s="36" t="inlineStr">
        <x:is>
          <x:t>NEX</x:t>
        </x:is>
      </x:c>
      <x:c r="B53" s="36" t="inlineStr">
        <x:is>
          <x:t>OT</x:t>
        </x:is>
      </x:c>
      <x:c r="C53" s="38">
        <x:v>2026</x:v>
      </x:c>
      <x:c r="D53" s="38">
        <x:v>1</x:v>
      </x:c>
      <x:c r="E53" s="36" t="str">
        <x:f>IF(OR(A53="",B53="",C53="",D53=""),"",A53&amp;"-"&amp;B53&amp;"-"&amp;TEXT(C53,"0000")&amp;"-"&amp;TEXT(D53,"0000"))</x:f>
        <x:v>NEX-OT-2026-0001</x:v>
      </x:c>
      <x:c r="F53" s="36" t="inlineStr">
        <x:is>
          <x:t>R0</x:t>
        </x:is>
      </x:c>
      <x:c r="G53" s="40">
        <x:v>46291</x:v>
      </x:c>
      <x:c r="H53" s="40"/>
      <x:c r="I53" s="36" t="inlineStr">
        <x:is>
          <x:t>Employee</x:t>
        </x:is>
      </x:c>
      <x:c r="J53" s="36" t="inlineStr">
        <x:is>
          <x:t>Staff Member 03</x:t>
        </x:is>
      </x:c>
      <x:c r="K53" s="36" t="inlineStr">
        <x:is>
          <x:t>Overtime request</x:t>
        </x:is>
      </x:c>
      <x:c r="L53" s="44"/>
      <x:c r="M53" s="36" t="inlineStr">
        <x:is>
          <x:t>MYR</x:t>
        </x:is>
      </x:c>
      <x:c r="N53" s="36" t="inlineStr">
        <x:is>
          <x:t>Under Review</x:t>
        </x:is>
      </x:c>
      <x:c r="O53" s="36" t="inlineStr">
        <x:is>
          <x:t>HR Admin</x:t>
        </x:is>
      </x:c>
      <x:c r="P53" s="40"/>
      <x:c r="Q53" s="36" t="str">
        <x:f>IF(P53="","",P53-TODAY())</x:f>
        <x:v/>
      </x:c>
      <x:c r="R53" s="36" t="str">
        <x:f>IF(E53="","",IF(X53="DUPLICATE","STOP — DUPLICATE",IF(OR(N53="Completed",N53="Cancelled",N53="Rejected",N53="Superseded"),"Closed",IF(P53="","No due date",IF(Q53&lt;0,"OVERDUE",IF(Q53&lt;=7,"DUE SOON","Open"))))))</x:f>
        <x:v>No due date</x:v>
      </x:c>
      <x:c r="S53" s="36"/>
      <x:c r="T53" s="36"/>
      <x:c r="U53" s="36"/>
      <x:c r="V53" s="42">
        <x:v>46291</x:v>
      </x:c>
      <x:c r="W53" s="36"/>
      <x:c r="X53" s="36" t="str">
        <x:f>IF(E53="","",IF(COUNTIF($E$7:$E$506,E53)&gt;1,"DUPLICATE","OK"))</x:f>
        <x:v>OK</x:v>
      </x:c>
    </x:row>
    <x:row r="54">
      <x:c r="A54" s="36" t="inlineStr">
        <x:is>
          <x:t>NEX</x:t>
        </x:is>
      </x:c>
      <x:c r="B54" s="36" t="inlineStr">
        <x:is>
          <x:t>EXIT</x:t>
        </x:is>
      </x:c>
      <x:c r="C54" s="38">
        <x:v>2026</x:v>
      </x:c>
      <x:c r="D54" s="38">
        <x:v>1</x:v>
      </x:c>
      <x:c r="E54" s="36" t="str">
        <x:f>IF(OR(A54="",B54="",C54="",D54=""),"",A54&amp;"-"&amp;B54&amp;"-"&amp;TEXT(C54,"0000")&amp;"-"&amp;TEXT(D54,"0000"))</x:f>
        <x:v>NEX-EXIT-2026-0001</x:v>
      </x:c>
      <x:c r="F54" s="36" t="inlineStr">
        <x:is>
          <x:t>R0</x:t>
        </x:is>
      </x:c>
      <x:c r="G54" s="40">
        <x:v>46297</x:v>
      </x:c>
      <x:c r="H54" s="40"/>
      <x:c r="I54" s="36" t="inlineStr">
        <x:is>
          <x:t>Employee</x:t>
        </x:is>
      </x:c>
      <x:c r="J54" s="36" t="inlineStr">
        <x:is>
          <x:t>Staff Member 08</x:t>
        </x:is>
      </x:c>
      <x:c r="K54" s="36" t="inlineStr">
        <x:is>
          <x:t>Exit checklist</x:t>
        </x:is>
      </x:c>
      <x:c r="L54" s="44"/>
      <x:c r="M54" s="36" t="inlineStr">
        <x:is>
          <x:t>MYR</x:t>
        </x:is>
      </x:c>
      <x:c r="N54" s="36" t="inlineStr">
        <x:is>
          <x:t>Draft</x:t>
        </x:is>
      </x:c>
      <x:c r="O54" s="36" t="inlineStr">
        <x:is>
          <x:t>HR Admin</x:t>
        </x:is>
      </x:c>
      <x:c r="P54" s="40">
        <x:v>46326</x:v>
      </x:c>
      <x:c r="Q54" s="36">
        <x:f>IF(P54="","",P54-TODAY())</x:f>
        <x:v>26</x:v>
      </x:c>
      <x:c r="R54" s="36" t="str">
        <x:f>IF(E54="","",IF(X54="DUPLICATE","STOP — DUPLICATE",IF(OR(N54="Completed",N54="Cancelled",N54="Rejected",N54="Superseded"),"Closed",IF(P54="","No due date",IF(Q54&lt;0,"OVERDUE",IF(Q54&lt;=7,"DUE SOON","Open"))))))</x:f>
        <x:v>Open</x:v>
      </x:c>
      <x:c r="S54" s="36"/>
      <x:c r="T54" s="36"/>
      <x:c r="U54" s="36"/>
      <x:c r="V54" s="42">
        <x:v>46297</x:v>
      </x:c>
      <x:c r="W54" s="36"/>
      <x:c r="X54" s="36" t="str">
        <x:f>IF(E54="","",IF(COUNTIF($E$7:$E$506,E54)&gt;1,"DUPLICATE","OK"))</x:f>
        <x:v>OK</x:v>
      </x:c>
    </x:row>
    <x:row r="55">
      <x:c r="A55" s="36" t="inlineStr">
        <x:is>
          <x:t>NEX</x:t>
        </x:is>
      </x:c>
      <x:c r="B55" s="36" t="inlineStr">
        <x:is>
          <x:t>SI</x:t>
        </x:is>
      </x:c>
      <x:c r="C55" s="38">
        <x:v>2026</x:v>
      </x:c>
      <x:c r="D55" s="38">
        <x:v>1</x:v>
      </x:c>
      <x:c r="E55" s="36" t="str">
        <x:f>IF(OR(A55="",B55="",C55="",D55=""),"",A55&amp;"-"&amp;B55&amp;"-"&amp;TEXT(C55,"0000")&amp;"-"&amp;TEXT(D55,"0000"))</x:f>
        <x:v>NEX-SI-2026-0001</x:v>
      </x:c>
      <x:c r="F55" s="36" t="inlineStr">
        <x:is>
          <x:t>R0</x:t>
        </x:is>
      </x:c>
      <x:c r="G55" s="40">
        <x:v>46273</x:v>
      </x:c>
      <x:c r="H55" s="40">
        <x:v>46273</x:v>
      </x:c>
      <x:c r="I55" s="36" t="inlineStr">
        <x:is>
          <x:t>Internal</x:t>
        </x:is>
      </x:c>
      <x:c r="J55" s="36" t="inlineStr">
        <x:is>
          <x:t>Internal</x:t>
        </x:is>
      </x:c>
      <x:c r="K55" s="36" t="inlineStr">
        <x:is>
          <x:t>Stock issue - office use</x:t>
        </x:is>
      </x:c>
      <x:c r="L55" s="44"/>
      <x:c r="M55" s="36" t="inlineStr">
        <x:is>
          <x:t>MYR</x:t>
        </x:is>
      </x:c>
      <x:c r="N55" s="36" t="inlineStr">
        <x:is>
          <x:t>Completed</x:t>
        </x:is>
      </x:c>
      <x:c r="O55" s="36" t="inlineStr">
        <x:is>
          <x:t>Store Keeper</x:t>
        </x:is>
      </x:c>
      <x:c r="P55" s="40"/>
      <x:c r="Q55" s="36" t="str">
        <x:f>IF(P55="","",P55-TODAY())</x:f>
        <x:v/>
      </x:c>
      <x:c r="R55" s="36" t="str">
        <x:f>IF(E55="","",IF(X55="DUPLICATE","STOP — DUPLICATE",IF(OR(N55="Completed",N55="Cancelled",N55="Rejected",N55="Superseded"),"Closed",IF(P55="","No due date",IF(Q55&lt;0,"OVERDUE",IF(Q55&lt;=7,"DUE SOON","Open"))))))</x:f>
        <x:v>Closed</x:v>
      </x:c>
      <x:c r="S55" s="36"/>
      <x:c r="T55" s="36"/>
      <x:c r="U55" s="36"/>
      <x:c r="V55" s="42">
        <x:v>46273</x:v>
      </x:c>
      <x:c r="W55" s="36"/>
      <x:c r="X55" s="36" t="str">
        <x:f>IF(E55="","",IF(COUNTIF($E$7:$E$506,E55)&gt;1,"DUPLICATE","OK"))</x:f>
        <x:v>OK</x:v>
      </x:c>
    </x:row>
    <x:row r="56">
      <x:c r="A56" s="36" t="inlineStr">
        <x:is>
          <x:t>NEX</x:t>
        </x:is>
      </x:c>
      <x:c r="B56" s="36" t="inlineStr">
        <x:is>
          <x:t>ST</x:t>
        </x:is>
      </x:c>
      <x:c r="C56" s="38">
        <x:v>2026</x:v>
      </x:c>
      <x:c r="D56" s="38">
        <x:v>1</x:v>
      </x:c>
      <x:c r="E56" s="36" t="str">
        <x:f>IF(OR(A56="",B56="",C56="",D56=""),"",A56&amp;"-"&amp;B56&amp;"-"&amp;TEXT(C56,"0000")&amp;"-"&amp;TEXT(D56,"0000"))</x:f>
        <x:v>NEX-ST-2026-0001</x:v>
      </x:c>
      <x:c r="F56" s="36" t="inlineStr">
        <x:is>
          <x:t>R0</x:t>
        </x:is>
      </x:c>
      <x:c r="G56" s="40">
        <x:v>46279</x:v>
      </x:c>
      <x:c r="H56" s="40">
        <x:v>46279</x:v>
      </x:c>
      <x:c r="I56" s="36" t="inlineStr">
        <x:is>
          <x:t>Internal</x:t>
        </x:is>
      </x:c>
      <x:c r="J56" s="36" t="inlineStr">
        <x:is>
          <x:t>Internal</x:t>
        </x:is>
      </x:c>
      <x:c r="K56" s="36" t="inlineStr">
        <x:is>
          <x:t>Stock transfer - store to counter</x:t>
        </x:is>
      </x:c>
      <x:c r="L56" s="44"/>
      <x:c r="M56" s="36" t="inlineStr">
        <x:is>
          <x:t>MYR</x:t>
        </x:is>
      </x:c>
      <x:c r="N56" s="36" t="inlineStr">
        <x:is>
          <x:t>Completed</x:t>
        </x:is>
      </x:c>
      <x:c r="O56" s="36" t="inlineStr">
        <x:is>
          <x:t>Store Keeper</x:t>
        </x:is>
      </x:c>
      <x:c r="P56" s="40"/>
      <x:c r="Q56" s="36" t="str">
        <x:f>IF(P56="","",P56-TODAY())</x:f>
        <x:v/>
      </x:c>
      <x:c r="R56" s="36" t="str">
        <x:f>IF(E56="","",IF(X56="DUPLICATE","STOP — DUPLICATE",IF(OR(N56="Completed",N56="Cancelled",N56="Rejected",N56="Superseded"),"Closed",IF(P56="","No due date",IF(Q56&lt;0,"OVERDUE",IF(Q56&lt;=7,"DUE SOON","Open"))))))</x:f>
        <x:v>Closed</x:v>
      </x:c>
      <x:c r="S56" s="36"/>
      <x:c r="T56" s="36"/>
      <x:c r="U56" s="36"/>
      <x:c r="V56" s="42">
        <x:v>46279</x:v>
      </x:c>
      <x:c r="W56" s="36"/>
      <x:c r="X56" s="36" t="str">
        <x:f>IF(E56="","",IF(COUNTIF($E$7:$E$506,E56)&gt;1,"DUPLICATE","OK"))</x:f>
        <x:v>OK</x:v>
      </x:c>
    </x:row>
    <x:row r="57">
      <x:c r="A57" s="36" t="inlineStr">
        <x:is>
          <x:t>NEX</x:t>
        </x:is>
      </x:c>
      <x:c r="B57" s="36" t="inlineStr">
        <x:is>
          <x:t>SA</x:t>
        </x:is>
      </x:c>
      <x:c r="C57" s="38">
        <x:v>2026</x:v>
      </x:c>
      <x:c r="D57" s="38">
        <x:v>1</x:v>
      </x:c>
      <x:c r="E57" s="36" t="str">
        <x:f>IF(OR(A57="",B57="",C57="",D57=""),"",A57&amp;"-"&amp;B57&amp;"-"&amp;TEXT(C57,"0000")&amp;"-"&amp;TEXT(D57,"0000"))</x:f>
        <x:v>NEX-SA-2026-0001</x:v>
      </x:c>
      <x:c r="F57" s="36" t="inlineStr">
        <x:is>
          <x:t>R0</x:t>
        </x:is>
      </x:c>
      <x:c r="G57" s="40">
        <x:v>46294</x:v>
      </x:c>
      <x:c r="H57" s="40"/>
      <x:c r="I57" s="36" t="inlineStr">
        <x:is>
          <x:t>Internal</x:t>
        </x:is>
      </x:c>
      <x:c r="J57" s="36" t="inlineStr">
        <x:is>
          <x:t>Internal</x:t>
        </x:is>
      </x:c>
      <x:c r="K57" s="36" t="inlineStr">
        <x:is>
          <x:t>Stock adjustment - damaged toner</x:t>
        </x:is>
      </x:c>
      <x:c r="L57" s="44">
        <x:v>2300</x:v>
      </x:c>
      <x:c r="M57" s="36" t="inlineStr">
        <x:is>
          <x:t>MYR</x:t>
        </x:is>
      </x:c>
      <x:c r="N57" s="36" t="inlineStr">
        <x:is>
          <x:t>Under Review</x:t>
        </x:is>
      </x:c>
      <x:c r="O57" s="36" t="inlineStr">
        <x:is>
          <x:t>Store Keeper</x:t>
        </x:is>
      </x:c>
      <x:c r="P57" s="40"/>
      <x:c r="Q57" s="36" t="str">
        <x:f>IF(P57="","",P57-TODAY())</x:f>
        <x:v/>
      </x:c>
      <x:c r="R57" s="36" t="str">
        <x:f>IF(E57="","",IF(X57="DUPLICATE","STOP — DUPLICATE",IF(OR(N57="Completed",N57="Cancelled",N57="Rejected",N57="Superseded"),"Closed",IF(P57="","No due date",IF(Q57&lt;0,"OVERDUE",IF(Q57&lt;=7,"DUE SOON","Open"))))))</x:f>
        <x:v>No due date</x:v>
      </x:c>
      <x:c r="S57" s="36"/>
      <x:c r="T57" s="36"/>
      <x:c r="U57" s="36"/>
      <x:c r="V57" s="42">
        <x:v>46294</x:v>
      </x:c>
      <x:c r="W57" s="36"/>
      <x:c r="X57" s="36" t="str">
        <x:f>IF(E57="","",IF(COUNTIF($E$7:$E$506,E57)&gt;1,"DUPLICATE","OK"))</x:f>
        <x:v>OK</x:v>
      </x:c>
    </x:row>
    <x:row r="58">
      <x:c r="A58" s="36" t="inlineStr">
        <x:is>
          <x:t>NEX</x:t>
        </x:is>
      </x:c>
      <x:c r="B58" s="36" t="inlineStr">
        <x:is>
          <x:t>SCV</x:t>
        </x:is>
      </x:c>
      <x:c r="C58" s="38">
        <x:v>2026</x:v>
      </x:c>
      <x:c r="D58" s="38">
        <x:v>1</x:v>
      </x:c>
      <x:c r="E58" s="36" t="str">
        <x:f>IF(OR(A58="",B58="",C58="",D58=""),"",A58&amp;"-"&amp;B58&amp;"-"&amp;TEXT(C58,"0000")&amp;"-"&amp;TEXT(D58,"0000"))</x:f>
        <x:v>NEX-SCV-2026-0001</x:v>
      </x:c>
      <x:c r="F58" s="36" t="inlineStr">
        <x:is>
          <x:t>R0</x:t>
        </x:is>
      </x:c>
      <x:c r="G58" s="40">
        <x:v>46295</x:v>
      </x:c>
      <x:c r="H58" s="40">
        <x:v>46295</x:v>
      </x:c>
      <x:c r="I58" s="36" t="inlineStr">
        <x:is>
          <x:t>Internal</x:t>
        </x:is>
      </x:c>
      <x:c r="J58" s="36" t="inlineStr">
        <x:is>
          <x:t>Internal</x:t>
        </x:is>
      </x:c>
      <x:c r="K58" s="36" t="inlineStr">
        <x:is>
          <x:t>Stock count variance - September</x:t>
        </x:is>
      </x:c>
      <x:c r="L58" s="44"/>
      <x:c r="M58" s="36" t="inlineStr">
        <x:is>
          <x:t>MYR</x:t>
        </x:is>
      </x:c>
      <x:c r="N58" s="36" t="inlineStr">
        <x:is>
          <x:t>Completed</x:t>
        </x:is>
      </x:c>
      <x:c r="O58" s="36" t="inlineStr">
        <x:is>
          <x:t>Store Keeper</x:t>
        </x:is>
      </x:c>
      <x:c r="P58" s="40"/>
      <x:c r="Q58" s="36" t="str">
        <x:f>IF(P58="","",P58-TODAY())</x:f>
        <x:v/>
      </x:c>
      <x:c r="R58" s="36" t="str">
        <x:f>IF(E58="","",IF(X58="DUPLICATE","STOP — DUPLICATE",IF(OR(N58="Completed",N58="Cancelled",N58="Rejected",N58="Superseded"),"Closed",IF(P58="","No due date",IF(Q58&lt;0,"OVERDUE",IF(Q58&lt;=7,"DUE SOON","Open"))))))</x:f>
        <x:v>Closed</x:v>
      </x:c>
      <x:c r="S58" s="36"/>
      <x:c r="T58" s="36"/>
      <x:c r="U58" s="36"/>
      <x:c r="V58" s="42">
        <x:v>46295</x:v>
      </x:c>
      <x:c r="W58" s="36"/>
      <x:c r="X58" s="36" t="str">
        <x:f>IF(E58="","",IF(COUNTIF($E$7:$E$506,E58)&gt;1,"DUPLICATE","OK"))</x:f>
        <x:v>OK</x:v>
      </x:c>
    </x:row>
    <x:row r="59">
      <x:c r="A59" s="36" t="inlineStr">
        <x:is>
          <x:t>NEX</x:t>
        </x:is>
      </x:c>
      <x:c r="B59" s="36" t="inlineStr">
        <x:is>
          <x:t>NDA</x:t>
        </x:is>
      </x:c>
      <x:c r="C59" s="38">
        <x:v>2026</x:v>
      </x:c>
      <x:c r="D59" s="38">
        <x:v>1</x:v>
      </x:c>
      <x:c r="E59" s="36" t="str">
        <x:f>IF(OR(A59="",B59="",C59="",D59=""),"",A59&amp;"-"&amp;B59&amp;"-"&amp;TEXT(C59,"0000")&amp;"-"&amp;TEXT(D59,"0000"))</x:f>
        <x:v>NEX-NDA-2026-0001</x:v>
      </x:c>
      <x:c r="F59" s="36" t="inlineStr">
        <x:is>
          <x:t>R0</x:t>
        </x:is>
      </x:c>
      <x:c r="G59" s="40">
        <x:v>46204</x:v>
      </x:c>
      <x:c r="H59" s="40">
        <x:v>46205</x:v>
      </x:c>
      <x:c r="I59" s="36" t="inlineStr">
        <x:is>
          <x:t>Customer</x:t>
        </x:is>
      </x:c>
      <x:c r="J59" s="36" t="inlineStr">
        <x:is>
          <x:t>Alpha Tech Resources</x:t>
        </x:is>
      </x:c>
      <x:c r="K59" s="36" t="inlineStr">
        <x:is>
          <x:t>Mutual NDA</x:t>
        </x:is>
      </x:c>
      <x:c r="L59" s="44"/>
      <x:c r="M59" s="36" t="inlineStr">
        <x:is>
          <x:t>MYR</x:t>
        </x:is>
      </x:c>
      <x:c r="N59" s="36" t="inlineStr">
        <x:is>
          <x:t>Issued</x:t>
        </x:is>
      </x:c>
      <x:c r="O59" s="36" t="inlineStr">
        <x:is>
          <x:t>Owner</x:t>
        </x:is>
      </x:c>
      <x:c r="P59" s="40">
        <x:v>46387</x:v>
      </x:c>
      <x:c r="Q59" s="36">
        <x:f>IF(P59="","",P59-TODAY())</x:f>
        <x:v>87</x:v>
      </x:c>
      <x:c r="R59" s="36" t="str">
        <x:f>IF(E59="","",IF(X59="DUPLICATE","STOP — DUPLICATE",IF(OR(N59="Completed",N59="Cancelled",N59="Rejected",N59="Superseded"),"Closed",IF(P59="","No due date",IF(Q59&lt;0,"OVERDUE",IF(Q59&lt;=7,"DUE SOON","Open"))))))</x:f>
        <x:v>Open</x:v>
      </x:c>
      <x:c r="S59" s="36"/>
      <x:c r="T59" s="36"/>
      <x:c r="U59" s="36"/>
      <x:c r="V59" s="42">
        <x:v>46205</x:v>
      </x:c>
      <x:c r="W59" s="36"/>
      <x:c r="X59" s="36" t="str">
        <x:f>IF(E59="","",IF(COUNTIF($E$7:$E$506,E59)&gt;1,"DUPLICATE","OK"))</x:f>
        <x:v>OK</x:v>
      </x:c>
    </x:row>
    <x:row r="60">
      <x:c r="A60" s="36" t="inlineStr">
        <x:is>
          <x:t>NEX</x:t>
        </x:is>
      </x:c>
      <x:c r="B60" s="36" t="inlineStr">
        <x:is>
          <x:t>AGR</x:t>
        </x:is>
      </x:c>
      <x:c r="C60" s="38">
        <x:v>2026</x:v>
      </x:c>
      <x:c r="D60" s="38">
        <x:v>1</x:v>
      </x:c>
      <x:c r="E60" s="36" t="str">
        <x:f>IF(OR(A60="",B60="",C60="",D60=""),"",A60&amp;"-"&amp;B60&amp;"-"&amp;TEXT(C60,"0000")&amp;"-"&amp;TEXT(D60,"0000"))</x:f>
        <x:v>NEX-AGR-2026-0001</x:v>
      </x:c>
      <x:c r="F60" s="36" t="inlineStr">
        <x:is>
          <x:t>R0</x:t>
        </x:is>
      </x:c>
      <x:c r="G60" s="40">
        <x:v>46280</x:v>
      </x:c>
      <x:c r="H60" s="40">
        <x:v>46281</x:v>
      </x:c>
      <x:c r="I60" s="36" t="inlineStr">
        <x:is>
          <x:t>Customer</x:t>
        </x:is>
      </x:c>
      <x:c r="J60" s="36" t="inlineStr">
        <x:is>
          <x:t>Beta Mart</x:t>
        </x:is>
      </x:c>
      <x:c r="K60" s="36" t="inlineStr">
        <x:is>
          <x:t>Annual supply agreement</x:t>
        </x:is>
      </x:c>
      <x:c r="L60" s="44"/>
      <x:c r="M60" s="36" t="inlineStr">
        <x:is>
          <x:t>MYR</x:t>
        </x:is>
      </x:c>
      <x:c r="N60" s="36" t="inlineStr">
        <x:is>
          <x:t>Issued</x:t>
        </x:is>
      </x:c>
      <x:c r="O60" s="36" t="inlineStr">
        <x:is>
          <x:t>Owner</x:t>
        </x:is>
      </x:c>
      <x:c r="P60" s="40">
        <x:v>46326</x:v>
      </x:c>
      <x:c r="Q60" s="36">
        <x:f>IF(P60="","",P60-TODAY())</x:f>
        <x:v>26</x:v>
      </x:c>
      <x:c r="R60" s="36" t="str">
        <x:f>IF(E60="","",IF(X60="DUPLICATE","STOP — DUPLICATE",IF(OR(N60="Completed",N60="Cancelled",N60="Rejected",N60="Superseded"),"Closed",IF(P60="","No due date",IF(Q60&lt;0,"OVERDUE",IF(Q60&lt;=7,"DUE SOON","Open"))))))</x:f>
        <x:v>Open</x:v>
      </x:c>
      <x:c r="S60" s="36"/>
      <x:c r="T60" s="36"/>
      <x:c r="U60" s="36"/>
      <x:c r="V60" s="42">
        <x:v>46281</x:v>
      </x:c>
      <x:c r="W60" s="36"/>
      <x:c r="X60" s="36" t="str">
        <x:f>IF(E60="","",IF(COUNTIF($E$7:$E$506,E60)&gt;1,"DUPLICATE","OK"))</x:f>
        <x:v>OK</x:v>
      </x:c>
    </x:row>
    <x:row r="61">
      <x:c r="A61" s="36" t="inlineStr">
        <x:is>
          <x:t>NEX</x:t>
        </x:is>
      </x:c>
      <x:c r="B61" s="36" t="inlineStr">
        <x:is>
          <x:t>MIN</x:t>
        </x:is>
      </x:c>
      <x:c r="C61" s="38">
        <x:v>2026</x:v>
      </x:c>
      <x:c r="D61" s="38">
        <x:v>1</x:v>
      </x:c>
      <x:c r="E61" s="36" t="str">
        <x:f>IF(OR(A61="",B61="",C61="",D61=""),"",A61&amp;"-"&amp;B61&amp;"-"&amp;TEXT(C61,"0000")&amp;"-"&amp;TEXT(D61,"0000"))</x:f>
        <x:v>NEX-MIN-2026-0001</x:v>
      </x:c>
      <x:c r="F61" s="36" t="inlineStr">
        <x:is>
          <x:t>R0</x:t>
        </x:is>
      </x:c>
      <x:c r="G61" s="40">
        <x:v>46295</x:v>
      </x:c>
      <x:c r="H61" s="40">
        <x:v>46295</x:v>
      </x:c>
      <x:c r="I61" s="36" t="inlineStr">
        <x:is>
          <x:t>Internal</x:t>
        </x:is>
      </x:c>
      <x:c r="J61" s="36" t="inlineStr">
        <x:is>
          <x:t>Internal</x:t>
        </x:is>
      </x:c>
      <x:c r="K61" s="36" t="inlineStr">
        <x:is>
          <x:t>Management meeting - September</x:t>
        </x:is>
      </x:c>
      <x:c r="L61" s="44"/>
      <x:c r="M61" s="36" t="inlineStr">
        <x:is>
          <x:t>MYR</x:t>
        </x:is>
      </x:c>
      <x:c r="N61" s="36" t="inlineStr">
        <x:is>
          <x:t>Completed</x:t>
        </x:is>
      </x:c>
      <x:c r="O61" s="36" t="inlineStr">
        <x:is>
          <x:t>Owner</x:t>
        </x:is>
      </x:c>
      <x:c r="P61" s="40"/>
      <x:c r="Q61" s="36" t="str">
        <x:f>IF(P61="","",P61-TODAY())</x:f>
        <x:v/>
      </x:c>
      <x:c r="R61" s="36" t="str">
        <x:f>IF(E61="","",IF(X61="DUPLICATE","STOP — DUPLICATE",IF(OR(N61="Completed",N61="Cancelled",N61="Rejected",N61="Superseded"),"Closed",IF(P61="","No due date",IF(Q61&lt;0,"OVERDUE",IF(Q61&lt;=7,"DUE SOON","Open"))))))</x:f>
        <x:v>Closed</x:v>
      </x:c>
      <x:c r="S61" s="36"/>
      <x:c r="T61" s="36"/>
      <x:c r="U61" s="36"/>
      <x:c r="V61" s="42">
        <x:v>46295</x:v>
      </x:c>
      <x:c r="W61" s="36"/>
      <x:c r="X61" s="36" t="str">
        <x:f>IF(E61="","",IF(COUNTIF($E$7:$E$506,E61)&gt;1,"DUPLICATE","OK"))</x:f>
        <x:v>OK</x:v>
      </x:c>
    </x:row>
    <x:row r="62">
      <x:c r="A62" s="36" t="inlineStr">
        <x:is>
          <x:t>NEX</x:t>
        </x:is>
      </x:c>
      <x:c r="B62" s="36" t="inlineStr">
        <x:is>
          <x:t>DEC</x:t>
        </x:is>
      </x:c>
      <x:c r="C62" s="38">
        <x:v>2026</x:v>
      </x:c>
      <x:c r="D62" s="38">
        <x:v>1</x:v>
      </x:c>
      <x:c r="E62" s="36" t="str">
        <x:f>IF(OR(A62="",B62="",C62="",D62=""),"",A62&amp;"-"&amp;B62&amp;"-"&amp;TEXT(C62,"0000")&amp;"-"&amp;TEXT(D62,"0000"))</x:f>
        <x:v>NEX-DEC-2026-0001</x:v>
      </x:c>
      <x:c r="F62" s="36" t="inlineStr">
        <x:is>
          <x:t>R0</x:t>
        </x:is>
      </x:c>
      <x:c r="G62" s="40">
        <x:v>46295</x:v>
      </x:c>
      <x:c r="H62" s="40">
        <x:v>46295</x:v>
      </x:c>
      <x:c r="I62" s="36" t="inlineStr">
        <x:is>
          <x:t>Internal</x:t>
        </x:is>
      </x:c>
      <x:c r="J62" s="36" t="inlineStr">
        <x:is>
          <x:t>Internal</x:t>
        </x:is>
      </x:c>
      <x:c r="K62" s="36" t="inlineStr">
        <x:is>
          <x:t>Decision - supplier consolidation</x:t>
        </x:is>
      </x:c>
      <x:c r="L62" s="44"/>
      <x:c r="M62" s="36" t="inlineStr">
        <x:is>
          <x:t>MYR</x:t>
        </x:is>
      </x:c>
      <x:c r="N62" s="36" t="inlineStr">
        <x:is>
          <x:t>Completed</x:t>
        </x:is>
      </x:c>
      <x:c r="O62" s="36" t="inlineStr">
        <x:is>
          <x:t>Owner</x:t>
        </x:is>
      </x:c>
      <x:c r="P62" s="40"/>
      <x:c r="Q62" s="36" t="str">
        <x:f>IF(P62="","",P62-TODAY())</x:f>
        <x:v/>
      </x:c>
      <x:c r="R62" s="36" t="str">
        <x:f>IF(E62="","",IF(X62="DUPLICATE","STOP — DUPLICATE",IF(OR(N62="Completed",N62="Cancelled",N62="Rejected",N62="Superseded"),"Closed",IF(P62="","No due date",IF(Q62&lt;0,"OVERDUE",IF(Q62&lt;=7,"DUE SOON","Open"))))))</x:f>
        <x:v>Closed</x:v>
      </x:c>
      <x:c r="S62" s="36"/>
      <x:c r="T62" s="36"/>
      <x:c r="U62" s="36"/>
      <x:c r="V62" s="42">
        <x:v>46295</x:v>
      </x:c>
      <x:c r="W62" s="36"/>
      <x:c r="X62" s="36" t="str">
        <x:f>IF(E62="","",IF(COUNTIF($E$7:$E$506,E62)&gt;1,"DUPLICATE","OK"))</x:f>
        <x:v>OK</x:v>
      </x:c>
    </x:row>
    <x:row r="63">
      <x:c r="A63" s="36" t="inlineStr">
        <x:is>
          <x:t>NEX</x:t>
        </x:is>
      </x:c>
      <x:c r="B63" s="36" t="inlineStr">
        <x:is>
          <x:t>INC</x:t>
        </x:is>
      </x:c>
      <x:c r="C63" s="38">
        <x:v>2026</x:v>
      </x:c>
      <x:c r="D63" s="38">
        <x:v>1</x:v>
      </x:c>
      <x:c r="E63" s="36" t="str">
        <x:f>IF(OR(A63="",B63="",C63="",D63=""),"",A63&amp;"-"&amp;B63&amp;"-"&amp;TEXT(C63,"0000")&amp;"-"&amp;TEXT(D63,"0000"))</x:f>
        <x:v>NEX-INC-2026-0001</x:v>
      </x:c>
      <x:c r="F63" s="36" t="inlineStr">
        <x:is>
          <x:t>R0</x:t>
        </x:is>
      </x:c>
      <x:c r="G63" s="40">
        <x:v>46299</x:v>
      </x:c>
      <x:c r="H63" s="40"/>
      <x:c r="I63" s="36" t="inlineStr">
        <x:is>
          <x:t>Internal</x:t>
        </x:is>
      </x:c>
      <x:c r="J63" s="36" t="inlineStr">
        <x:is>
          <x:t>Internal</x:t>
        </x:is>
      </x:c>
      <x:c r="K63" s="36" t="inlineStr">
        <x:is>
          <x:t>Water leak in storeroom</x:t>
        </x:is>
      </x:c>
      <x:c r="L63" s="44"/>
      <x:c r="M63" s="36" t="inlineStr">
        <x:is>
          <x:t>MYR</x:t>
        </x:is>
      </x:c>
      <x:c r="N63" s="36" t="inlineStr">
        <x:is>
          <x:t>Under Review</x:t>
        </x:is>
      </x:c>
      <x:c r="O63" s="36" t="inlineStr">
        <x:is>
          <x:t>Owner</x:t>
        </x:is>
      </x:c>
      <x:c r="P63" s="40">
        <x:v>46304</x:v>
      </x:c>
      <x:c r="Q63" s="36">
        <x:f>IF(P63="","",P63-TODAY())</x:f>
        <x:v>4</x:v>
      </x:c>
      <x:c r="R63" s="36" t="str">
        <x:f>IF(E63="","",IF(X63="DUPLICATE","STOP — DUPLICATE",IF(OR(N63="Completed",N63="Cancelled",N63="Rejected",N63="Superseded"),"Closed",IF(P63="","No due date",IF(Q63&lt;0,"OVERDUE",IF(Q63&lt;=7,"DUE SOON","Open"))))))</x:f>
        <x:v>DUE SOON</x:v>
      </x:c>
      <x:c r="S63" s="36"/>
      <x:c r="T63" s="36"/>
      <x:c r="U63" s="36"/>
      <x:c r="V63" s="42">
        <x:v>46299</x:v>
      </x:c>
      <x:c r="W63" s="36"/>
      <x:c r="X63" s="36" t="str">
        <x:f>IF(E63="","",IF(COUNTIF($E$7:$E$506,E63)&gt;1,"DUPLICATE","OK"))</x:f>
        <x:v>OK</x:v>
      </x:c>
    </x:row>
    <x:row r="64">
      <x:c r="A64" s="36" t="str">
        <x:v>NEX</x:v>
      </x:c>
      <x:c r="B64" s="36"/>
      <x:c r="C64" s="38"/>
      <x:c r="D64" s="38"/>
      <x:c r="E64" s="36" t="str">
        <x:f>IF(OR(A64="",B64="",C64="",D64=""),"",A64&amp;"-"&amp;B64&amp;"-"&amp;TEXT(C64,"0000")&amp;"-"&amp;TEXT(D64,"0000"))</x:f>
      </x:c>
      <x:c r="F64" s="36" t="str">
        <x:v>R0</x:v>
      </x:c>
      <x:c r="G64" s="40"/>
      <x:c r="H64" s="40"/>
      <x:c r="I64" s="36"/>
      <x:c r="J64" s="36"/>
      <x:c r="K64" s="36"/>
      <x:c r="L64" s="44"/>
      <x:c r="M64" s="36" t="str">
        <x:v>MYR</x:v>
      </x:c>
      <x:c r="N64" s="36"/>
      <x:c r="O64" s="36"/>
      <x:c r="P64" s="40"/>
      <x:c r="Q64" s="36" t="str">
        <x:f>IF(P64="","",P64-TODAY())</x:f>
      </x:c>
      <x:c r="R64" s="36" t="str">
        <x:f>IF(E64="","",IF(X64="DUPLICATE","STOP — DUPLICATE",IF(OR(N64="Completed",N64="Cancelled",N64="Rejected",N64="Superseded"),"Closed",IF(P64="","No due date",IF(Q64&lt;0,"OVERDUE",IF(Q64&lt;=7,"DUE SOON","Open"))))))</x:f>
      </x:c>
      <x:c r="S64" s="36"/>
      <x:c r="T64" s="36"/>
      <x:c r="U64" s="36"/>
      <x:c r="V64" s="42"/>
      <x:c r="W64" s="36"/>
      <x:c r="X64" s="36" t="str">
        <x:f>IF(E64="","",IF(COUNTIF($E$7:$E$506,E64)&gt;1,"DUPLICATE","OK"))</x:f>
      </x:c>
    </x:row>
    <x:row r="65">
      <x:c r="A65" s="36" t="str">
        <x:v>NEX</x:v>
      </x:c>
      <x:c r="B65" s="36"/>
      <x:c r="C65" s="38"/>
      <x:c r="D65" s="38"/>
      <x:c r="E65" s="36" t="str">
        <x:f>IF(OR(A65="",B65="",C65="",D65=""),"",A65&amp;"-"&amp;B65&amp;"-"&amp;TEXT(C65,"0000")&amp;"-"&amp;TEXT(D65,"0000"))</x:f>
      </x:c>
      <x:c r="F65" s="36" t="str">
        <x:v>R0</x:v>
      </x:c>
      <x:c r="G65" s="40"/>
      <x:c r="H65" s="40"/>
      <x:c r="I65" s="36"/>
      <x:c r="J65" s="36"/>
      <x:c r="K65" s="36"/>
      <x:c r="L65" s="44"/>
      <x:c r="M65" s="36" t="str">
        <x:v>MYR</x:v>
      </x:c>
      <x:c r="N65" s="36"/>
      <x:c r="O65" s="36"/>
      <x:c r="P65" s="40"/>
      <x:c r="Q65" s="36" t="str">
        <x:f>IF(P65="","",P65-TODAY())</x:f>
      </x:c>
      <x:c r="R65" s="36" t="str">
        <x:f>IF(E65="","",IF(X65="DUPLICATE","STOP — DUPLICATE",IF(OR(N65="Completed",N65="Cancelled",N65="Rejected",N65="Superseded"),"Closed",IF(P65="","No due date",IF(Q65&lt;0,"OVERDUE",IF(Q65&lt;=7,"DUE SOON","Open"))))))</x:f>
      </x:c>
      <x:c r="S65" s="36"/>
      <x:c r="T65" s="36"/>
      <x:c r="U65" s="36"/>
      <x:c r="V65" s="42"/>
      <x:c r="W65" s="36"/>
      <x:c r="X65" s="36" t="str">
        <x:f>IF(E65="","",IF(COUNTIF($E$7:$E$506,E65)&gt;1,"DUPLICATE","OK"))</x:f>
      </x:c>
    </x:row>
    <x:row r="66">
      <x:c r="A66" s="36" t="str">
        <x:v>NEX</x:v>
      </x:c>
      <x:c r="B66" s="36"/>
      <x:c r="C66" s="38"/>
      <x:c r="D66" s="38"/>
      <x:c r="E66" s="36" t="str">
        <x:f>IF(OR(A66="",B66="",C66="",D66=""),"",A66&amp;"-"&amp;B66&amp;"-"&amp;TEXT(C66,"0000")&amp;"-"&amp;TEXT(D66,"0000"))</x:f>
      </x:c>
      <x:c r="F66" s="36" t="str">
        <x:v>R0</x:v>
      </x:c>
      <x:c r="G66" s="40"/>
      <x:c r="H66" s="40"/>
      <x:c r="I66" s="36"/>
      <x:c r="J66" s="36"/>
      <x:c r="K66" s="36"/>
      <x:c r="L66" s="44"/>
      <x:c r="M66" s="36" t="str">
        <x:v>MYR</x:v>
      </x:c>
      <x:c r="N66" s="36"/>
      <x:c r="O66" s="36"/>
      <x:c r="P66" s="40"/>
      <x:c r="Q66" s="36" t="str">
        <x:f>IF(P66="","",P66-TODAY())</x:f>
      </x:c>
      <x:c r="R66" s="36" t="str">
        <x:f>IF(E66="","",IF(X66="DUPLICATE","STOP — DUPLICATE",IF(OR(N66="Completed",N66="Cancelled",N66="Rejected",N66="Superseded"),"Closed",IF(P66="","No due date",IF(Q66&lt;0,"OVERDUE",IF(Q66&lt;=7,"DUE SOON","Open"))))))</x:f>
      </x:c>
      <x:c r="S66" s="36"/>
      <x:c r="T66" s="36"/>
      <x:c r="U66" s="36"/>
      <x:c r="V66" s="42"/>
      <x:c r="W66" s="36"/>
      <x:c r="X66" s="36" t="str">
        <x:f>IF(E66="","",IF(COUNTIF($E$7:$E$506,E66)&gt;1,"DUPLICATE","OK"))</x:f>
      </x:c>
    </x:row>
    <x:row r="67">
      <x:c r="A67" s="36" t="str">
        <x:v>NEX</x:v>
      </x:c>
      <x:c r="B67" s="36"/>
      <x:c r="C67" s="38"/>
      <x:c r="D67" s="38"/>
      <x:c r="E67" s="36" t="str">
        <x:f>IF(OR(A67="",B67="",C67="",D67=""),"",A67&amp;"-"&amp;B67&amp;"-"&amp;TEXT(C67,"0000")&amp;"-"&amp;TEXT(D67,"0000"))</x:f>
      </x:c>
      <x:c r="F67" s="36" t="str">
        <x:v>R0</x:v>
      </x:c>
      <x:c r="G67" s="40"/>
      <x:c r="H67" s="40"/>
      <x:c r="I67" s="36"/>
      <x:c r="J67" s="36"/>
      <x:c r="K67" s="36"/>
      <x:c r="L67" s="44"/>
      <x:c r="M67" s="36" t="str">
        <x:v>MYR</x:v>
      </x:c>
      <x:c r="N67" s="36"/>
      <x:c r="O67" s="36"/>
      <x:c r="P67" s="40"/>
      <x:c r="Q67" s="36" t="str">
        <x:f>IF(P67="","",P67-TODAY())</x:f>
      </x:c>
      <x:c r="R67" s="36" t="str">
        <x:f>IF(E67="","",IF(X67="DUPLICATE","STOP — DUPLICATE",IF(OR(N67="Completed",N67="Cancelled",N67="Rejected",N67="Superseded"),"Closed",IF(P67="","No due date",IF(Q67&lt;0,"OVERDUE",IF(Q67&lt;=7,"DUE SOON","Open"))))))</x:f>
      </x:c>
      <x:c r="S67" s="36"/>
      <x:c r="T67" s="36"/>
      <x:c r="U67" s="36"/>
      <x:c r="V67" s="42"/>
      <x:c r="W67" s="36"/>
      <x:c r="X67" s="36" t="str">
        <x:f>IF(E67="","",IF(COUNTIF($E$7:$E$506,E67)&gt;1,"DUPLICATE","OK"))</x:f>
      </x:c>
    </x:row>
    <x:row r="68">
      <x:c r="A68" s="36" t="str">
        <x:v>NEX</x:v>
      </x:c>
      <x:c r="B68" s="36"/>
      <x:c r="C68" s="38"/>
      <x:c r="D68" s="38"/>
      <x:c r="E68" s="36" t="str">
        <x:f>IF(OR(A68="",B68="",C68="",D68=""),"",A68&amp;"-"&amp;B68&amp;"-"&amp;TEXT(C68,"0000")&amp;"-"&amp;TEXT(D68,"0000"))</x:f>
      </x:c>
      <x:c r="F68" s="36" t="str">
        <x:v>R0</x:v>
      </x:c>
      <x:c r="G68" s="40"/>
      <x:c r="H68" s="40"/>
      <x:c r="I68" s="36"/>
      <x:c r="J68" s="36"/>
      <x:c r="K68" s="36"/>
      <x:c r="L68" s="44"/>
      <x:c r="M68" s="36" t="str">
        <x:v>MYR</x:v>
      </x:c>
      <x:c r="N68" s="36"/>
      <x:c r="O68" s="36"/>
      <x:c r="P68" s="40"/>
      <x:c r="Q68" s="36" t="str">
        <x:f>IF(P68="","",P68-TODAY())</x:f>
      </x:c>
      <x:c r="R68" s="36" t="str">
        <x:f>IF(E68="","",IF(X68="DUPLICATE","STOP — DUPLICATE",IF(OR(N68="Completed",N68="Cancelled",N68="Rejected",N68="Superseded"),"Closed",IF(P68="","No due date",IF(Q68&lt;0,"OVERDUE",IF(Q68&lt;=7,"DUE SOON","Open"))))))</x:f>
      </x:c>
      <x:c r="S68" s="36"/>
      <x:c r="T68" s="36"/>
      <x:c r="U68" s="36"/>
      <x:c r="V68" s="42"/>
      <x:c r="W68" s="36"/>
      <x:c r="X68" s="36" t="str">
        <x:f>IF(E68="","",IF(COUNTIF($E$7:$E$506,E68)&gt;1,"DUPLICATE","OK"))</x:f>
      </x:c>
    </x:row>
    <x:row r="69">
      <x:c r="A69" s="36" t="str">
        <x:v>NEX</x:v>
      </x:c>
      <x:c r="B69" s="36"/>
      <x:c r="C69" s="38"/>
      <x:c r="D69" s="38"/>
      <x:c r="E69" s="36" t="str">
        <x:f>IF(OR(A69="",B69="",C69="",D69=""),"",A69&amp;"-"&amp;B69&amp;"-"&amp;TEXT(C69,"0000")&amp;"-"&amp;TEXT(D69,"0000"))</x:f>
      </x:c>
      <x:c r="F69" s="36" t="str">
        <x:v>R0</x:v>
      </x:c>
      <x:c r="G69" s="40"/>
      <x:c r="H69" s="40"/>
      <x:c r="I69" s="36"/>
      <x:c r="J69" s="36"/>
      <x:c r="K69" s="36"/>
      <x:c r="L69" s="44"/>
      <x:c r="M69" s="36" t="str">
        <x:v>MYR</x:v>
      </x:c>
      <x:c r="N69" s="36"/>
      <x:c r="O69" s="36"/>
      <x:c r="P69" s="40"/>
      <x:c r="Q69" s="36" t="str">
        <x:f>IF(P69="","",P69-TODAY())</x:f>
      </x:c>
      <x:c r="R69" s="36" t="str">
        <x:f>IF(E69="","",IF(X69="DUPLICATE","STOP — DUPLICATE",IF(OR(N69="Completed",N69="Cancelled",N69="Rejected",N69="Superseded"),"Closed",IF(P69="","No due date",IF(Q69&lt;0,"OVERDUE",IF(Q69&lt;=7,"DUE SOON","Open"))))))</x:f>
      </x:c>
      <x:c r="S69" s="36"/>
      <x:c r="T69" s="36"/>
      <x:c r="U69" s="36"/>
      <x:c r="V69" s="42"/>
      <x:c r="W69" s="36"/>
      <x:c r="X69" s="36" t="str">
        <x:f>IF(E69="","",IF(COUNTIF($E$7:$E$506,E69)&gt;1,"DUPLICATE","OK"))</x:f>
      </x:c>
    </x:row>
    <x:row r="70">
      <x:c r="A70" s="36" t="str">
        <x:v>NEX</x:v>
      </x:c>
      <x:c r="B70" s="36"/>
      <x:c r="C70" s="38"/>
      <x:c r="D70" s="38"/>
      <x:c r="E70" s="36" t="str">
        <x:f>IF(OR(A70="",B70="",C70="",D70=""),"",A70&amp;"-"&amp;B70&amp;"-"&amp;TEXT(C70,"0000")&amp;"-"&amp;TEXT(D70,"0000"))</x:f>
      </x:c>
      <x:c r="F70" s="36" t="str">
        <x:v>R0</x:v>
      </x:c>
      <x:c r="G70" s="40"/>
      <x:c r="H70" s="40"/>
      <x:c r="I70" s="36"/>
      <x:c r="J70" s="36"/>
      <x:c r="K70" s="36"/>
      <x:c r="L70" s="44"/>
      <x:c r="M70" s="36" t="str">
        <x:v>MYR</x:v>
      </x:c>
      <x:c r="N70" s="36"/>
      <x:c r="O70" s="36"/>
      <x:c r="P70" s="40"/>
      <x:c r="Q70" s="36" t="str">
        <x:f>IF(P70="","",P70-TODAY())</x:f>
      </x:c>
      <x:c r="R70" s="36" t="str">
        <x:f>IF(E70="","",IF(X70="DUPLICATE","STOP — DUPLICATE",IF(OR(N70="Completed",N70="Cancelled",N70="Rejected",N70="Superseded"),"Closed",IF(P70="","No due date",IF(Q70&lt;0,"OVERDUE",IF(Q70&lt;=7,"DUE SOON","Open"))))))</x:f>
      </x:c>
      <x:c r="S70" s="36"/>
      <x:c r="T70" s="36"/>
      <x:c r="U70" s="36"/>
      <x:c r="V70" s="42"/>
      <x:c r="W70" s="36"/>
      <x:c r="X70" s="36" t="str">
        <x:f>IF(E70="","",IF(COUNTIF($E$7:$E$506,E70)&gt;1,"DUPLICATE","OK"))</x:f>
      </x:c>
    </x:row>
    <x:row r="71">
      <x:c r="A71" s="36" t="str">
        <x:v>NEX</x:v>
      </x:c>
      <x:c r="B71" s="36"/>
      <x:c r="C71" s="38"/>
      <x:c r="D71" s="38"/>
      <x:c r="E71" s="36" t="str">
        <x:f>IF(OR(A71="",B71="",C71="",D71=""),"",A71&amp;"-"&amp;B71&amp;"-"&amp;TEXT(C71,"0000")&amp;"-"&amp;TEXT(D71,"0000"))</x:f>
      </x:c>
      <x:c r="F71" s="36" t="str">
        <x:v>R0</x:v>
      </x:c>
      <x:c r="G71" s="40"/>
      <x:c r="H71" s="40"/>
      <x:c r="I71" s="36"/>
      <x:c r="J71" s="36"/>
      <x:c r="K71" s="36"/>
      <x:c r="L71" s="44"/>
      <x:c r="M71" s="36" t="str">
        <x:v>MYR</x:v>
      </x:c>
      <x:c r="N71" s="36"/>
      <x:c r="O71" s="36"/>
      <x:c r="P71" s="40"/>
      <x:c r="Q71" s="36" t="str">
        <x:f>IF(P71="","",P71-TODAY())</x:f>
      </x:c>
      <x:c r="R71" s="36" t="str">
        <x:f>IF(E71="","",IF(X71="DUPLICATE","STOP — DUPLICATE",IF(OR(N71="Completed",N71="Cancelled",N71="Rejected",N71="Superseded"),"Closed",IF(P71="","No due date",IF(Q71&lt;0,"OVERDUE",IF(Q71&lt;=7,"DUE SOON","Open"))))))</x:f>
      </x:c>
      <x:c r="S71" s="36"/>
      <x:c r="T71" s="36"/>
      <x:c r="U71" s="36"/>
      <x:c r="V71" s="42"/>
      <x:c r="W71" s="36"/>
      <x:c r="X71" s="36" t="str">
        <x:f>IF(E71="","",IF(COUNTIF($E$7:$E$506,E71)&gt;1,"DUPLICATE","OK"))</x:f>
      </x:c>
    </x:row>
    <x:row r="72">
      <x:c r="A72" s="36" t="str">
        <x:v>NEX</x:v>
      </x:c>
      <x:c r="B72" s="36"/>
      <x:c r="C72" s="38"/>
      <x:c r="D72" s="38"/>
      <x:c r="E72" s="36" t="str">
        <x:f>IF(OR(A72="",B72="",C72="",D72=""),"",A72&amp;"-"&amp;B72&amp;"-"&amp;TEXT(C72,"0000")&amp;"-"&amp;TEXT(D72,"0000"))</x:f>
      </x:c>
      <x:c r="F72" s="36" t="str">
        <x:v>R0</x:v>
      </x:c>
      <x:c r="G72" s="40"/>
      <x:c r="H72" s="40"/>
      <x:c r="I72" s="36"/>
      <x:c r="J72" s="36"/>
      <x:c r="K72" s="36"/>
      <x:c r="L72" s="44"/>
      <x:c r="M72" s="36" t="str">
        <x:v>MYR</x:v>
      </x:c>
      <x:c r="N72" s="36"/>
      <x:c r="O72" s="36"/>
      <x:c r="P72" s="40"/>
      <x:c r="Q72" s="36" t="str">
        <x:f>IF(P72="","",P72-TODAY())</x:f>
      </x:c>
      <x:c r="R72" s="36" t="str">
        <x:f>IF(E72="","",IF(X72="DUPLICATE","STOP — DUPLICATE",IF(OR(N72="Completed",N72="Cancelled",N72="Rejected",N72="Superseded"),"Closed",IF(P72="","No due date",IF(Q72&lt;0,"OVERDUE",IF(Q72&lt;=7,"DUE SOON","Open"))))))</x:f>
      </x:c>
      <x:c r="S72" s="36"/>
      <x:c r="T72" s="36"/>
      <x:c r="U72" s="36"/>
      <x:c r="V72" s="42"/>
      <x:c r="W72" s="36"/>
      <x:c r="X72" s="36" t="str">
        <x:f>IF(E72="","",IF(COUNTIF($E$7:$E$506,E72)&gt;1,"DUPLICATE","OK"))</x:f>
      </x:c>
    </x:row>
    <x:row r="73">
      <x:c r="A73" s="36" t="str">
        <x:v>NEX</x:v>
      </x:c>
      <x:c r="B73" s="36"/>
      <x:c r="C73" s="38"/>
      <x:c r="D73" s="38"/>
      <x:c r="E73" s="36" t="str">
        <x:f>IF(OR(A73="",B73="",C73="",D73=""),"",A73&amp;"-"&amp;B73&amp;"-"&amp;TEXT(C73,"0000")&amp;"-"&amp;TEXT(D73,"0000"))</x:f>
      </x:c>
      <x:c r="F73" s="36" t="str">
        <x:v>R0</x:v>
      </x:c>
      <x:c r="G73" s="40"/>
      <x:c r="H73" s="40"/>
      <x:c r="I73" s="36"/>
      <x:c r="J73" s="36"/>
      <x:c r="K73" s="36"/>
      <x:c r="L73" s="44"/>
      <x:c r="M73" s="36" t="str">
        <x:v>MYR</x:v>
      </x:c>
      <x:c r="N73" s="36"/>
      <x:c r="O73" s="36"/>
      <x:c r="P73" s="40"/>
      <x:c r="Q73" s="36" t="str">
        <x:f>IF(P73="","",P73-TODAY())</x:f>
      </x:c>
      <x:c r="R73" s="36" t="str">
        <x:f>IF(E73="","",IF(X73="DUPLICATE","STOP — DUPLICATE",IF(OR(N73="Completed",N73="Cancelled",N73="Rejected",N73="Superseded"),"Closed",IF(P73="","No due date",IF(Q73&lt;0,"OVERDUE",IF(Q73&lt;=7,"DUE SOON","Open"))))))</x:f>
      </x:c>
      <x:c r="S73" s="36"/>
      <x:c r="T73" s="36"/>
      <x:c r="U73" s="36"/>
      <x:c r="V73" s="42"/>
      <x:c r="W73" s="36"/>
      <x:c r="X73" s="36" t="str">
        <x:f>IF(E73="","",IF(COUNTIF($E$7:$E$506,E73)&gt;1,"DUPLICATE","OK"))</x:f>
      </x:c>
    </x:row>
    <x:row r="74">
      <x:c r="A74" s="36" t="str">
        <x:v>NEX</x:v>
      </x:c>
      <x:c r="B74" s="36"/>
      <x:c r="C74" s="38"/>
      <x:c r="D74" s="38"/>
      <x:c r="E74" s="36" t="str">
        <x:f>IF(OR(A74="",B74="",C74="",D74=""),"",A74&amp;"-"&amp;B74&amp;"-"&amp;TEXT(C74,"0000")&amp;"-"&amp;TEXT(D74,"0000"))</x:f>
      </x:c>
      <x:c r="F74" s="36" t="str">
        <x:v>R0</x:v>
      </x:c>
      <x:c r="G74" s="40"/>
      <x:c r="H74" s="40"/>
      <x:c r="I74" s="36"/>
      <x:c r="J74" s="36"/>
      <x:c r="K74" s="36"/>
      <x:c r="L74" s="44"/>
      <x:c r="M74" s="36" t="str">
        <x:v>MYR</x:v>
      </x:c>
      <x:c r="N74" s="36"/>
      <x:c r="O74" s="36"/>
      <x:c r="P74" s="40"/>
      <x:c r="Q74" s="36" t="str">
        <x:f>IF(P74="","",P74-TODAY())</x:f>
      </x:c>
      <x:c r="R74" s="36" t="str">
        <x:f>IF(E74="","",IF(X74="DUPLICATE","STOP — DUPLICATE",IF(OR(N74="Completed",N74="Cancelled",N74="Rejected",N74="Superseded"),"Closed",IF(P74="","No due date",IF(Q74&lt;0,"OVERDUE",IF(Q74&lt;=7,"DUE SOON","Open"))))))</x:f>
      </x:c>
      <x:c r="S74" s="36"/>
      <x:c r="T74" s="36"/>
      <x:c r="U74" s="36"/>
      <x:c r="V74" s="42"/>
      <x:c r="W74" s="36"/>
      <x:c r="X74" s="36" t="str">
        <x:f>IF(E74="","",IF(COUNTIF($E$7:$E$506,E74)&gt;1,"DUPLICATE","OK"))</x:f>
      </x:c>
    </x:row>
    <x:row r="75">
      <x:c r="A75" s="36" t="str">
        <x:v>NEX</x:v>
      </x:c>
      <x:c r="B75" s="36"/>
      <x:c r="C75" s="38"/>
      <x:c r="D75" s="38"/>
      <x:c r="E75" s="36" t="str">
        <x:f>IF(OR(A75="",B75="",C75="",D75=""),"",A75&amp;"-"&amp;B75&amp;"-"&amp;TEXT(C75,"0000")&amp;"-"&amp;TEXT(D75,"0000"))</x:f>
      </x:c>
      <x:c r="F75" s="36" t="str">
        <x:v>R0</x:v>
      </x:c>
      <x:c r="G75" s="40"/>
      <x:c r="H75" s="40"/>
      <x:c r="I75" s="36"/>
      <x:c r="J75" s="36"/>
      <x:c r="K75" s="36"/>
      <x:c r="L75" s="44"/>
      <x:c r="M75" s="36" t="str">
        <x:v>MYR</x:v>
      </x:c>
      <x:c r="N75" s="36"/>
      <x:c r="O75" s="36"/>
      <x:c r="P75" s="40"/>
      <x:c r="Q75" s="36" t="str">
        <x:f>IF(P75="","",P75-TODAY())</x:f>
      </x:c>
      <x:c r="R75" s="36" t="str">
        <x:f>IF(E75="","",IF(X75="DUPLICATE","STOP — DUPLICATE",IF(OR(N75="Completed",N75="Cancelled",N75="Rejected",N75="Superseded"),"Closed",IF(P75="","No due date",IF(Q75&lt;0,"OVERDUE",IF(Q75&lt;=7,"DUE SOON","Open"))))))</x:f>
      </x:c>
      <x:c r="S75" s="36"/>
      <x:c r="T75" s="36"/>
      <x:c r="U75" s="36"/>
      <x:c r="V75" s="42"/>
      <x:c r="W75" s="36"/>
      <x:c r="X75" s="36" t="str">
        <x:f>IF(E75="","",IF(COUNTIF($E$7:$E$506,E75)&gt;1,"DUPLICATE","OK"))</x:f>
      </x:c>
    </x:row>
    <x:row r="76">
      <x:c r="A76" s="36" t="str">
        <x:v>NEX</x:v>
      </x:c>
      <x:c r="B76" s="36"/>
      <x:c r="C76" s="38"/>
      <x:c r="D76" s="38"/>
      <x:c r="E76" s="36" t="str">
        <x:f>IF(OR(A76="",B76="",C76="",D76=""),"",A76&amp;"-"&amp;B76&amp;"-"&amp;TEXT(C76,"0000")&amp;"-"&amp;TEXT(D76,"0000"))</x:f>
      </x:c>
      <x:c r="F76" s="36" t="str">
        <x:v>R0</x:v>
      </x:c>
      <x:c r="G76" s="40"/>
      <x:c r="H76" s="40"/>
      <x:c r="I76" s="36"/>
      <x:c r="J76" s="36"/>
      <x:c r="K76" s="36"/>
      <x:c r="L76" s="44"/>
      <x:c r="M76" s="36" t="str">
        <x:v>MYR</x:v>
      </x:c>
      <x:c r="N76" s="36"/>
      <x:c r="O76" s="36"/>
      <x:c r="P76" s="40"/>
      <x:c r="Q76" s="36" t="str">
        <x:f>IF(P76="","",P76-TODAY())</x:f>
      </x:c>
      <x:c r="R76" s="36" t="str">
        <x:f>IF(E76="","",IF(X76="DUPLICATE","STOP — DUPLICATE",IF(OR(N76="Completed",N76="Cancelled",N76="Rejected",N76="Superseded"),"Closed",IF(P76="","No due date",IF(Q76&lt;0,"OVERDUE",IF(Q76&lt;=7,"DUE SOON","Open"))))))</x:f>
      </x:c>
      <x:c r="S76" s="36"/>
      <x:c r="T76" s="36"/>
      <x:c r="U76" s="36"/>
      <x:c r="V76" s="42"/>
      <x:c r="W76" s="36"/>
      <x:c r="X76" s="36" t="str">
        <x:f>IF(E76="","",IF(COUNTIF($E$7:$E$506,E76)&gt;1,"DUPLICATE","OK"))</x:f>
      </x:c>
    </x:row>
    <x:row r="77">
      <x:c r="A77" s="36" t="str">
        <x:v>NEX</x:v>
      </x:c>
      <x:c r="B77" s="36"/>
      <x:c r="C77" s="38"/>
      <x:c r="D77" s="38"/>
      <x:c r="E77" s="36" t="str">
        <x:f>IF(OR(A77="",B77="",C77="",D77=""),"",A77&amp;"-"&amp;B77&amp;"-"&amp;TEXT(C77,"0000")&amp;"-"&amp;TEXT(D77,"0000"))</x:f>
      </x:c>
      <x:c r="F77" s="36" t="str">
        <x:v>R0</x:v>
      </x:c>
      <x:c r="G77" s="40"/>
      <x:c r="H77" s="40"/>
      <x:c r="I77" s="36"/>
      <x:c r="J77" s="36"/>
      <x:c r="K77" s="36"/>
      <x:c r="L77" s="44"/>
      <x:c r="M77" s="36" t="str">
        <x:v>MYR</x:v>
      </x:c>
      <x:c r="N77" s="36"/>
      <x:c r="O77" s="36"/>
      <x:c r="P77" s="40"/>
      <x:c r="Q77" s="36" t="str">
        <x:f>IF(P77="","",P77-TODAY())</x:f>
      </x:c>
      <x:c r="R77" s="36" t="str">
        <x:f>IF(E77="","",IF(X77="DUPLICATE","STOP — DUPLICATE",IF(OR(N77="Completed",N77="Cancelled",N77="Rejected",N77="Superseded"),"Closed",IF(P77="","No due date",IF(Q77&lt;0,"OVERDUE",IF(Q77&lt;=7,"DUE SOON","Open"))))))</x:f>
      </x:c>
      <x:c r="S77" s="36"/>
      <x:c r="T77" s="36"/>
      <x:c r="U77" s="36"/>
      <x:c r="V77" s="42"/>
      <x:c r="W77" s="36"/>
      <x:c r="X77" s="36" t="str">
        <x:f>IF(E77="","",IF(COUNTIF($E$7:$E$506,E77)&gt;1,"DUPLICATE","OK"))</x:f>
      </x:c>
    </x:row>
    <x:row r="78">
      <x:c r="A78" s="36" t="str">
        <x:v>NEX</x:v>
      </x:c>
      <x:c r="B78" s="36"/>
      <x:c r="C78" s="38"/>
      <x:c r="D78" s="38"/>
      <x:c r="E78" s="36" t="str">
        <x:f>IF(OR(A78="",B78="",C78="",D78=""),"",A78&amp;"-"&amp;B78&amp;"-"&amp;TEXT(C78,"0000")&amp;"-"&amp;TEXT(D78,"0000"))</x:f>
      </x:c>
      <x:c r="F78" s="36" t="str">
        <x:v>R0</x:v>
      </x:c>
      <x:c r="G78" s="40"/>
      <x:c r="H78" s="40"/>
      <x:c r="I78" s="36"/>
      <x:c r="J78" s="36"/>
      <x:c r="K78" s="36"/>
      <x:c r="L78" s="44"/>
      <x:c r="M78" s="36" t="str">
        <x:v>MYR</x:v>
      </x:c>
      <x:c r="N78" s="36"/>
      <x:c r="O78" s="36"/>
      <x:c r="P78" s="40"/>
      <x:c r="Q78" s="36" t="str">
        <x:f>IF(P78="","",P78-TODAY())</x:f>
      </x:c>
      <x:c r="R78" s="36" t="str">
        <x:f>IF(E78="","",IF(X78="DUPLICATE","STOP — DUPLICATE",IF(OR(N78="Completed",N78="Cancelled",N78="Rejected",N78="Superseded"),"Closed",IF(P78="","No due date",IF(Q78&lt;0,"OVERDUE",IF(Q78&lt;=7,"DUE SOON","Open"))))))</x:f>
      </x:c>
      <x:c r="S78" s="36"/>
      <x:c r="T78" s="36"/>
      <x:c r="U78" s="36"/>
      <x:c r="V78" s="42"/>
      <x:c r="W78" s="36"/>
      <x:c r="X78" s="36" t="str">
        <x:f>IF(E78="","",IF(COUNTIF($E$7:$E$506,E78)&gt;1,"DUPLICATE","OK"))</x:f>
      </x:c>
    </x:row>
    <x:row r="79">
      <x:c r="A79" s="36" t="str">
        <x:v>NEX</x:v>
      </x:c>
      <x:c r="B79" s="36"/>
      <x:c r="C79" s="38"/>
      <x:c r="D79" s="38"/>
      <x:c r="E79" s="36" t="str">
        <x:f>IF(OR(A79="",B79="",C79="",D79=""),"",A79&amp;"-"&amp;B79&amp;"-"&amp;TEXT(C79,"0000")&amp;"-"&amp;TEXT(D79,"0000"))</x:f>
      </x:c>
      <x:c r="F79" s="36" t="str">
        <x:v>R0</x:v>
      </x:c>
      <x:c r="G79" s="40"/>
      <x:c r="H79" s="40"/>
      <x:c r="I79" s="36"/>
      <x:c r="J79" s="36"/>
      <x:c r="K79" s="36"/>
      <x:c r="L79" s="44"/>
      <x:c r="M79" s="36" t="str">
        <x:v>MYR</x:v>
      </x:c>
      <x:c r="N79" s="36"/>
      <x:c r="O79" s="36"/>
      <x:c r="P79" s="40"/>
      <x:c r="Q79" s="36" t="str">
        <x:f>IF(P79="","",P79-TODAY())</x:f>
      </x:c>
      <x:c r="R79" s="36" t="str">
        <x:f>IF(E79="","",IF(X79="DUPLICATE","STOP — DUPLICATE",IF(OR(N79="Completed",N79="Cancelled",N79="Rejected",N79="Superseded"),"Closed",IF(P79="","No due date",IF(Q79&lt;0,"OVERDUE",IF(Q79&lt;=7,"DUE SOON","Open"))))))</x:f>
      </x:c>
      <x:c r="S79" s="36"/>
      <x:c r="T79" s="36"/>
      <x:c r="U79" s="36"/>
      <x:c r="V79" s="42"/>
      <x:c r="W79" s="36"/>
      <x:c r="X79" s="36" t="str">
        <x:f>IF(E79="","",IF(COUNTIF($E$7:$E$506,E79)&gt;1,"DUPLICATE","OK"))</x:f>
      </x:c>
    </x:row>
    <x:row r="80">
      <x:c r="A80" s="36" t="str">
        <x:v>NEX</x:v>
      </x:c>
      <x:c r="B80" s="36"/>
      <x:c r="C80" s="38"/>
      <x:c r="D80" s="38"/>
      <x:c r="E80" s="36" t="str">
        <x:f>IF(OR(A80="",B80="",C80="",D80=""),"",A80&amp;"-"&amp;B80&amp;"-"&amp;TEXT(C80,"0000")&amp;"-"&amp;TEXT(D80,"0000"))</x:f>
      </x:c>
      <x:c r="F80" s="36" t="str">
        <x:v>R0</x:v>
      </x:c>
      <x:c r="G80" s="40"/>
      <x:c r="H80" s="40"/>
      <x:c r="I80" s="36"/>
      <x:c r="J80" s="36"/>
      <x:c r="K80" s="36"/>
      <x:c r="L80" s="44"/>
      <x:c r="M80" s="36" t="str">
        <x:v>MYR</x:v>
      </x:c>
      <x:c r="N80" s="36"/>
      <x:c r="O80" s="36"/>
      <x:c r="P80" s="40"/>
      <x:c r="Q80" s="36" t="str">
        <x:f>IF(P80="","",P80-TODAY())</x:f>
      </x:c>
      <x:c r="R80" s="36" t="str">
        <x:f>IF(E80="","",IF(X80="DUPLICATE","STOP — DUPLICATE",IF(OR(N80="Completed",N80="Cancelled",N80="Rejected",N80="Superseded"),"Closed",IF(P80="","No due date",IF(Q80&lt;0,"OVERDUE",IF(Q80&lt;=7,"DUE SOON","Open"))))))</x:f>
      </x:c>
      <x:c r="S80" s="36"/>
      <x:c r="T80" s="36"/>
      <x:c r="U80" s="36"/>
      <x:c r="V80" s="42"/>
      <x:c r="W80" s="36"/>
      <x:c r="X80" s="36" t="str">
        <x:f>IF(E80="","",IF(COUNTIF($E$7:$E$506,E80)&gt;1,"DUPLICATE","OK"))</x:f>
      </x:c>
    </x:row>
    <x:row r="81">
      <x:c r="A81" s="36" t="str">
        <x:v>NEX</x:v>
      </x:c>
      <x:c r="B81" s="36"/>
      <x:c r="C81" s="38"/>
      <x:c r="D81" s="38"/>
      <x:c r="E81" s="36" t="str">
        <x:f>IF(OR(A81="",B81="",C81="",D81=""),"",A81&amp;"-"&amp;B81&amp;"-"&amp;TEXT(C81,"0000")&amp;"-"&amp;TEXT(D81,"0000"))</x:f>
      </x:c>
      <x:c r="F81" s="36" t="str">
        <x:v>R0</x:v>
      </x:c>
      <x:c r="G81" s="40"/>
      <x:c r="H81" s="40"/>
      <x:c r="I81" s="36"/>
      <x:c r="J81" s="36"/>
      <x:c r="K81" s="36"/>
      <x:c r="L81" s="44"/>
      <x:c r="M81" s="36" t="str">
        <x:v>MYR</x:v>
      </x:c>
      <x:c r="N81" s="36"/>
      <x:c r="O81" s="36"/>
      <x:c r="P81" s="40"/>
      <x:c r="Q81" s="36" t="str">
        <x:f>IF(P81="","",P81-TODAY())</x:f>
      </x:c>
      <x:c r="R81" s="36" t="str">
        <x:f>IF(E81="","",IF(X81="DUPLICATE","STOP — DUPLICATE",IF(OR(N81="Completed",N81="Cancelled",N81="Rejected",N81="Superseded"),"Closed",IF(P81="","No due date",IF(Q81&lt;0,"OVERDUE",IF(Q81&lt;=7,"DUE SOON","Open"))))))</x:f>
      </x:c>
      <x:c r="S81" s="36"/>
      <x:c r="T81" s="36"/>
      <x:c r="U81" s="36"/>
      <x:c r="V81" s="42"/>
      <x:c r="W81" s="36"/>
      <x:c r="X81" s="36" t="str">
        <x:f>IF(E81="","",IF(COUNTIF($E$7:$E$506,E81)&gt;1,"DUPLICATE","OK"))</x:f>
      </x:c>
    </x:row>
    <x:row r="82">
      <x:c r="A82" s="36" t="str">
        <x:v>NEX</x:v>
      </x:c>
      <x:c r="B82" s="36"/>
      <x:c r="C82" s="38"/>
      <x:c r="D82" s="38"/>
      <x:c r="E82" s="36" t="str">
        <x:f>IF(OR(A82="",B82="",C82="",D82=""),"",A82&amp;"-"&amp;B82&amp;"-"&amp;TEXT(C82,"0000")&amp;"-"&amp;TEXT(D82,"0000"))</x:f>
      </x:c>
      <x:c r="F82" s="36" t="str">
        <x:v>R0</x:v>
      </x:c>
      <x:c r="G82" s="40"/>
      <x:c r="H82" s="40"/>
      <x:c r="I82" s="36"/>
      <x:c r="J82" s="36"/>
      <x:c r="K82" s="36"/>
      <x:c r="L82" s="44"/>
      <x:c r="M82" s="36" t="str">
        <x:v>MYR</x:v>
      </x:c>
      <x:c r="N82" s="36"/>
      <x:c r="O82" s="36"/>
      <x:c r="P82" s="40"/>
      <x:c r="Q82" s="36" t="str">
        <x:f>IF(P82="","",P82-TODAY())</x:f>
      </x:c>
      <x:c r="R82" s="36" t="str">
        <x:f>IF(E82="","",IF(X82="DUPLICATE","STOP — DUPLICATE",IF(OR(N82="Completed",N82="Cancelled",N82="Rejected",N82="Superseded"),"Closed",IF(P82="","No due date",IF(Q82&lt;0,"OVERDUE",IF(Q82&lt;=7,"DUE SOON","Open"))))))</x:f>
      </x:c>
      <x:c r="S82" s="36"/>
      <x:c r="T82" s="36"/>
      <x:c r="U82" s="36"/>
      <x:c r="V82" s="42"/>
      <x:c r="W82" s="36"/>
      <x:c r="X82" s="36" t="str">
        <x:f>IF(E82="","",IF(COUNTIF($E$7:$E$506,E82)&gt;1,"DUPLICATE","OK"))</x:f>
      </x:c>
    </x:row>
    <x:row r="83">
      <x:c r="A83" s="36" t="str">
        <x:v>NEX</x:v>
      </x:c>
      <x:c r="B83" s="36"/>
      <x:c r="C83" s="38"/>
      <x:c r="D83" s="38"/>
      <x:c r="E83" s="36" t="str">
        <x:f>IF(OR(A83="",B83="",C83="",D83=""),"",A83&amp;"-"&amp;B83&amp;"-"&amp;TEXT(C83,"0000")&amp;"-"&amp;TEXT(D83,"0000"))</x:f>
      </x:c>
      <x:c r="F83" s="36" t="str">
        <x:v>R0</x:v>
      </x:c>
      <x:c r="G83" s="40"/>
      <x:c r="H83" s="40"/>
      <x:c r="I83" s="36"/>
      <x:c r="J83" s="36"/>
      <x:c r="K83" s="36"/>
      <x:c r="L83" s="44"/>
      <x:c r="M83" s="36" t="str">
        <x:v>MYR</x:v>
      </x:c>
      <x:c r="N83" s="36"/>
      <x:c r="O83" s="36"/>
      <x:c r="P83" s="40"/>
      <x:c r="Q83" s="36" t="str">
        <x:f>IF(P83="","",P83-TODAY())</x:f>
      </x:c>
      <x:c r="R83" s="36" t="str">
        <x:f>IF(E83="","",IF(X83="DUPLICATE","STOP — DUPLICATE",IF(OR(N83="Completed",N83="Cancelled",N83="Rejected",N83="Superseded"),"Closed",IF(P83="","No due date",IF(Q83&lt;0,"OVERDUE",IF(Q83&lt;=7,"DUE SOON","Open"))))))</x:f>
      </x:c>
      <x:c r="S83" s="36"/>
      <x:c r="T83" s="36"/>
      <x:c r="U83" s="36"/>
      <x:c r="V83" s="42"/>
      <x:c r="W83" s="36"/>
      <x:c r="X83" s="36" t="str">
        <x:f>IF(E83="","",IF(COUNTIF($E$7:$E$506,E83)&gt;1,"DUPLICATE","OK"))</x:f>
      </x:c>
    </x:row>
    <x:row r="84">
      <x:c r="A84" s="36" t="str">
        <x:v>NEX</x:v>
      </x:c>
      <x:c r="B84" s="36"/>
      <x:c r="C84" s="38"/>
      <x:c r="D84" s="38"/>
      <x:c r="E84" s="36" t="str">
        <x:f>IF(OR(A84="",B84="",C84="",D84=""),"",A84&amp;"-"&amp;B84&amp;"-"&amp;TEXT(C84,"0000")&amp;"-"&amp;TEXT(D84,"0000"))</x:f>
      </x:c>
      <x:c r="F84" s="36" t="str">
        <x:v>R0</x:v>
      </x:c>
      <x:c r="G84" s="40"/>
      <x:c r="H84" s="40"/>
      <x:c r="I84" s="36"/>
      <x:c r="J84" s="36"/>
      <x:c r="K84" s="36"/>
      <x:c r="L84" s="44"/>
      <x:c r="M84" s="36" t="str">
        <x:v>MYR</x:v>
      </x:c>
      <x:c r="N84" s="36"/>
      <x:c r="O84" s="36"/>
      <x:c r="P84" s="40"/>
      <x:c r="Q84" s="36" t="str">
        <x:f>IF(P84="","",P84-TODAY())</x:f>
      </x:c>
      <x:c r="R84" s="36" t="str">
        <x:f>IF(E84="","",IF(X84="DUPLICATE","STOP — DUPLICATE",IF(OR(N84="Completed",N84="Cancelled",N84="Rejected",N84="Superseded"),"Closed",IF(P84="","No due date",IF(Q84&lt;0,"OVERDUE",IF(Q84&lt;=7,"DUE SOON","Open"))))))</x:f>
      </x:c>
      <x:c r="S84" s="36"/>
      <x:c r="T84" s="36"/>
      <x:c r="U84" s="36"/>
      <x:c r="V84" s="42"/>
      <x:c r="W84" s="36"/>
      <x:c r="X84" s="36" t="str">
        <x:f>IF(E84="","",IF(COUNTIF($E$7:$E$506,E84)&gt;1,"DUPLICATE","OK"))</x:f>
      </x:c>
    </x:row>
    <x:row r="85">
      <x:c r="A85" s="36" t="str">
        <x:v>NEX</x:v>
      </x:c>
      <x:c r="B85" s="36"/>
      <x:c r="C85" s="38"/>
      <x:c r="D85" s="38"/>
      <x:c r="E85" s="36" t="str">
        <x:f>IF(OR(A85="",B85="",C85="",D85=""),"",A85&amp;"-"&amp;B85&amp;"-"&amp;TEXT(C85,"0000")&amp;"-"&amp;TEXT(D85,"0000"))</x:f>
      </x:c>
      <x:c r="F85" s="36" t="str">
        <x:v>R0</x:v>
      </x:c>
      <x:c r="G85" s="40"/>
      <x:c r="H85" s="40"/>
      <x:c r="I85" s="36"/>
      <x:c r="J85" s="36"/>
      <x:c r="K85" s="36"/>
      <x:c r="L85" s="44"/>
      <x:c r="M85" s="36" t="str">
        <x:v>MYR</x:v>
      </x:c>
      <x:c r="N85" s="36"/>
      <x:c r="O85" s="36"/>
      <x:c r="P85" s="40"/>
      <x:c r="Q85" s="36" t="str">
        <x:f>IF(P85="","",P85-TODAY())</x:f>
      </x:c>
      <x:c r="R85" s="36" t="str">
        <x:f>IF(E85="","",IF(X85="DUPLICATE","STOP — DUPLICATE",IF(OR(N85="Completed",N85="Cancelled",N85="Rejected",N85="Superseded"),"Closed",IF(P85="","No due date",IF(Q85&lt;0,"OVERDUE",IF(Q85&lt;=7,"DUE SOON","Open"))))))</x:f>
      </x:c>
      <x:c r="S85" s="36"/>
      <x:c r="T85" s="36"/>
      <x:c r="U85" s="36"/>
      <x:c r="V85" s="42"/>
      <x:c r="W85" s="36"/>
      <x:c r="X85" s="36" t="str">
        <x:f>IF(E85="","",IF(COUNTIF($E$7:$E$506,E85)&gt;1,"DUPLICATE","OK"))</x:f>
      </x:c>
    </x:row>
    <x:row r="86">
      <x:c r="A86" s="36" t="str">
        <x:v>NEX</x:v>
      </x:c>
      <x:c r="B86" s="36"/>
      <x:c r="C86" s="38"/>
      <x:c r="D86" s="38"/>
      <x:c r="E86" s="36" t="str">
        <x:f>IF(OR(A86="",B86="",C86="",D86=""),"",A86&amp;"-"&amp;B86&amp;"-"&amp;TEXT(C86,"0000")&amp;"-"&amp;TEXT(D86,"0000"))</x:f>
      </x:c>
      <x:c r="F86" s="36" t="str">
        <x:v>R0</x:v>
      </x:c>
      <x:c r="G86" s="40"/>
      <x:c r="H86" s="40"/>
      <x:c r="I86" s="36"/>
      <x:c r="J86" s="36"/>
      <x:c r="K86" s="36"/>
      <x:c r="L86" s="44"/>
      <x:c r="M86" s="36" t="str">
        <x:v>MYR</x:v>
      </x:c>
      <x:c r="N86" s="36"/>
      <x:c r="O86" s="36"/>
      <x:c r="P86" s="40"/>
      <x:c r="Q86" s="36" t="str">
        <x:f>IF(P86="","",P86-TODAY())</x:f>
      </x:c>
      <x:c r="R86" s="36" t="str">
        <x:f>IF(E86="","",IF(X86="DUPLICATE","STOP — DUPLICATE",IF(OR(N86="Completed",N86="Cancelled",N86="Rejected",N86="Superseded"),"Closed",IF(P86="","No due date",IF(Q86&lt;0,"OVERDUE",IF(Q86&lt;=7,"DUE SOON","Open"))))))</x:f>
      </x:c>
      <x:c r="S86" s="36"/>
      <x:c r="T86" s="36"/>
      <x:c r="U86" s="36"/>
      <x:c r="V86" s="42"/>
      <x:c r="W86" s="36"/>
      <x:c r="X86" s="36" t="str">
        <x:f>IF(E86="","",IF(COUNTIF($E$7:$E$506,E86)&gt;1,"DUPLICATE","OK"))</x:f>
      </x:c>
    </x:row>
    <x:row r="87">
      <x:c r="A87" s="36" t="str">
        <x:v>NEX</x:v>
      </x:c>
      <x:c r="B87" s="36"/>
      <x:c r="C87" s="38"/>
      <x:c r="D87" s="38"/>
      <x:c r="E87" s="36" t="str">
        <x:f>IF(OR(A87="",B87="",C87="",D87=""),"",A87&amp;"-"&amp;B87&amp;"-"&amp;TEXT(C87,"0000")&amp;"-"&amp;TEXT(D87,"0000"))</x:f>
      </x:c>
      <x:c r="F87" s="36" t="str">
        <x:v>R0</x:v>
      </x:c>
      <x:c r="G87" s="40"/>
      <x:c r="H87" s="40"/>
      <x:c r="I87" s="36"/>
      <x:c r="J87" s="36"/>
      <x:c r="K87" s="36"/>
      <x:c r="L87" s="44"/>
      <x:c r="M87" s="36" t="str">
        <x:v>MYR</x:v>
      </x:c>
      <x:c r="N87" s="36"/>
      <x:c r="O87" s="36"/>
      <x:c r="P87" s="40"/>
      <x:c r="Q87" s="36" t="str">
        <x:f>IF(P87="","",P87-TODAY())</x:f>
      </x:c>
      <x:c r="R87" s="36" t="str">
        <x:f>IF(E87="","",IF(X87="DUPLICATE","STOP — DUPLICATE",IF(OR(N87="Completed",N87="Cancelled",N87="Rejected",N87="Superseded"),"Closed",IF(P87="","No due date",IF(Q87&lt;0,"OVERDUE",IF(Q87&lt;=7,"DUE SOON","Open"))))))</x:f>
      </x:c>
      <x:c r="S87" s="36"/>
      <x:c r="T87" s="36"/>
      <x:c r="U87" s="36"/>
      <x:c r="V87" s="42"/>
      <x:c r="W87" s="36"/>
      <x:c r="X87" s="36" t="str">
        <x:f>IF(E87="","",IF(COUNTIF($E$7:$E$506,E87)&gt;1,"DUPLICATE","OK"))</x:f>
      </x:c>
    </x:row>
    <x:row r="88">
      <x:c r="A88" s="36" t="str">
        <x:v>NEX</x:v>
      </x:c>
      <x:c r="B88" s="36"/>
      <x:c r="C88" s="38"/>
      <x:c r="D88" s="38"/>
      <x:c r="E88" s="36" t="str">
        <x:f>IF(OR(A88="",B88="",C88="",D88=""),"",A88&amp;"-"&amp;B88&amp;"-"&amp;TEXT(C88,"0000")&amp;"-"&amp;TEXT(D88,"0000"))</x:f>
      </x:c>
      <x:c r="F88" s="36" t="str">
        <x:v>R0</x:v>
      </x:c>
      <x:c r="G88" s="40"/>
      <x:c r="H88" s="40"/>
      <x:c r="I88" s="36"/>
      <x:c r="J88" s="36"/>
      <x:c r="K88" s="36"/>
      <x:c r="L88" s="44"/>
      <x:c r="M88" s="36" t="str">
        <x:v>MYR</x:v>
      </x:c>
      <x:c r="N88" s="36"/>
      <x:c r="O88" s="36"/>
      <x:c r="P88" s="40"/>
      <x:c r="Q88" s="36" t="str">
        <x:f>IF(P88="","",P88-TODAY())</x:f>
      </x:c>
      <x:c r="R88" s="36" t="str">
        <x:f>IF(E88="","",IF(X88="DUPLICATE","STOP — DUPLICATE",IF(OR(N88="Completed",N88="Cancelled",N88="Rejected",N88="Superseded"),"Closed",IF(P88="","No due date",IF(Q88&lt;0,"OVERDUE",IF(Q88&lt;=7,"DUE SOON","Open"))))))</x:f>
      </x:c>
      <x:c r="S88" s="36"/>
      <x:c r="T88" s="36"/>
      <x:c r="U88" s="36"/>
      <x:c r="V88" s="42"/>
      <x:c r="W88" s="36"/>
      <x:c r="X88" s="36" t="str">
        <x:f>IF(E88="","",IF(COUNTIF($E$7:$E$506,E88)&gt;1,"DUPLICATE","OK"))</x:f>
      </x:c>
    </x:row>
    <x:row r="89">
      <x:c r="A89" s="36" t="str">
        <x:v>NEX</x:v>
      </x:c>
      <x:c r="B89" s="36"/>
      <x:c r="C89" s="38"/>
      <x:c r="D89" s="38"/>
      <x:c r="E89" s="36" t="str">
        <x:f>IF(OR(A89="",B89="",C89="",D89=""),"",A89&amp;"-"&amp;B89&amp;"-"&amp;TEXT(C89,"0000")&amp;"-"&amp;TEXT(D89,"0000"))</x:f>
      </x:c>
      <x:c r="F89" s="36" t="str">
        <x:v>R0</x:v>
      </x:c>
      <x:c r="G89" s="40"/>
      <x:c r="H89" s="40"/>
      <x:c r="I89" s="36"/>
      <x:c r="J89" s="36"/>
      <x:c r="K89" s="36"/>
      <x:c r="L89" s="44"/>
      <x:c r="M89" s="36" t="str">
        <x:v>MYR</x:v>
      </x:c>
      <x:c r="N89" s="36"/>
      <x:c r="O89" s="36"/>
      <x:c r="P89" s="40"/>
      <x:c r="Q89" s="36" t="str">
        <x:f>IF(P89="","",P89-TODAY())</x:f>
      </x:c>
      <x:c r="R89" s="36" t="str">
        <x:f>IF(E89="","",IF(X89="DUPLICATE","STOP — DUPLICATE",IF(OR(N89="Completed",N89="Cancelled",N89="Rejected",N89="Superseded"),"Closed",IF(P89="","No due date",IF(Q89&lt;0,"OVERDUE",IF(Q89&lt;=7,"DUE SOON","Open"))))))</x:f>
      </x:c>
      <x:c r="S89" s="36"/>
      <x:c r="T89" s="36"/>
      <x:c r="U89" s="36"/>
      <x:c r="V89" s="42"/>
      <x:c r="W89" s="36"/>
      <x:c r="X89" s="36" t="str">
        <x:f>IF(E89="","",IF(COUNTIF($E$7:$E$506,E89)&gt;1,"DUPLICATE","OK"))</x:f>
      </x:c>
    </x:row>
    <x:row r="90">
      <x:c r="A90" s="36" t="str">
        <x:v>NEX</x:v>
      </x:c>
      <x:c r="B90" s="36"/>
      <x:c r="C90" s="38"/>
      <x:c r="D90" s="38"/>
      <x:c r="E90" s="36" t="str">
        <x:f>IF(OR(A90="",B90="",C90="",D90=""),"",A90&amp;"-"&amp;B90&amp;"-"&amp;TEXT(C90,"0000")&amp;"-"&amp;TEXT(D90,"0000"))</x:f>
      </x:c>
      <x:c r="F90" s="36" t="str">
        <x:v>R0</x:v>
      </x:c>
      <x:c r="G90" s="40"/>
      <x:c r="H90" s="40"/>
      <x:c r="I90" s="36"/>
      <x:c r="J90" s="36"/>
      <x:c r="K90" s="36"/>
      <x:c r="L90" s="44"/>
      <x:c r="M90" s="36" t="str">
        <x:v>MYR</x:v>
      </x:c>
      <x:c r="N90" s="36"/>
      <x:c r="O90" s="36"/>
      <x:c r="P90" s="40"/>
      <x:c r="Q90" s="36" t="str">
        <x:f>IF(P90="","",P90-TODAY())</x:f>
      </x:c>
      <x:c r="R90" s="36" t="str">
        <x:f>IF(E90="","",IF(X90="DUPLICATE","STOP — DUPLICATE",IF(OR(N90="Completed",N90="Cancelled",N90="Rejected",N90="Superseded"),"Closed",IF(P90="","No due date",IF(Q90&lt;0,"OVERDUE",IF(Q90&lt;=7,"DUE SOON","Open"))))))</x:f>
      </x:c>
      <x:c r="S90" s="36"/>
      <x:c r="T90" s="36"/>
      <x:c r="U90" s="36"/>
      <x:c r="V90" s="42"/>
      <x:c r="W90" s="36"/>
      <x:c r="X90" s="36" t="str">
        <x:f>IF(E90="","",IF(COUNTIF($E$7:$E$506,E90)&gt;1,"DUPLICATE","OK"))</x:f>
      </x:c>
    </x:row>
    <x:row r="91">
      <x:c r="A91" s="36" t="str">
        <x:v>NEX</x:v>
      </x:c>
      <x:c r="B91" s="36"/>
      <x:c r="C91" s="38"/>
      <x:c r="D91" s="38"/>
      <x:c r="E91" s="36" t="str">
        <x:f>IF(OR(A91="",B91="",C91="",D91=""),"",A91&amp;"-"&amp;B91&amp;"-"&amp;TEXT(C91,"0000")&amp;"-"&amp;TEXT(D91,"0000"))</x:f>
      </x:c>
      <x:c r="F91" s="36" t="str">
        <x:v>R0</x:v>
      </x:c>
      <x:c r="G91" s="40"/>
      <x:c r="H91" s="40"/>
      <x:c r="I91" s="36"/>
      <x:c r="J91" s="36"/>
      <x:c r="K91" s="36"/>
      <x:c r="L91" s="44"/>
      <x:c r="M91" s="36" t="str">
        <x:v>MYR</x:v>
      </x:c>
      <x:c r="N91" s="36"/>
      <x:c r="O91" s="36"/>
      <x:c r="P91" s="40"/>
      <x:c r="Q91" s="36" t="str">
        <x:f>IF(P91="","",P91-TODAY())</x:f>
      </x:c>
      <x:c r="R91" s="36" t="str">
        <x:f>IF(E91="","",IF(X91="DUPLICATE","STOP — DUPLICATE",IF(OR(N91="Completed",N91="Cancelled",N91="Rejected",N91="Superseded"),"Closed",IF(P91="","No due date",IF(Q91&lt;0,"OVERDUE",IF(Q91&lt;=7,"DUE SOON","Open"))))))</x:f>
      </x:c>
      <x:c r="S91" s="36"/>
      <x:c r="T91" s="36"/>
      <x:c r="U91" s="36"/>
      <x:c r="V91" s="42"/>
      <x:c r="W91" s="36"/>
      <x:c r="X91" s="36" t="str">
        <x:f>IF(E91="","",IF(COUNTIF($E$7:$E$506,E91)&gt;1,"DUPLICATE","OK"))</x:f>
      </x:c>
    </x:row>
    <x:row r="92">
      <x:c r="A92" s="36" t="str">
        <x:v>NEX</x:v>
      </x:c>
      <x:c r="B92" s="36"/>
      <x:c r="C92" s="38"/>
      <x:c r="D92" s="38"/>
      <x:c r="E92" s="36" t="str">
        <x:f>IF(OR(A92="",B92="",C92="",D92=""),"",A92&amp;"-"&amp;B92&amp;"-"&amp;TEXT(C92,"0000")&amp;"-"&amp;TEXT(D92,"0000"))</x:f>
      </x:c>
      <x:c r="F92" s="36" t="str">
        <x:v>R0</x:v>
      </x:c>
      <x:c r="G92" s="40"/>
      <x:c r="H92" s="40"/>
      <x:c r="I92" s="36"/>
      <x:c r="J92" s="36"/>
      <x:c r="K92" s="36"/>
      <x:c r="L92" s="44"/>
      <x:c r="M92" s="36" t="str">
        <x:v>MYR</x:v>
      </x:c>
      <x:c r="N92" s="36"/>
      <x:c r="O92" s="36"/>
      <x:c r="P92" s="40"/>
      <x:c r="Q92" s="36" t="str">
        <x:f>IF(P92="","",P92-TODAY())</x:f>
      </x:c>
      <x:c r="R92" s="36" t="str">
        <x:f>IF(E92="","",IF(X92="DUPLICATE","STOP — DUPLICATE",IF(OR(N92="Completed",N92="Cancelled",N92="Rejected",N92="Superseded"),"Closed",IF(P92="","No due date",IF(Q92&lt;0,"OVERDUE",IF(Q92&lt;=7,"DUE SOON","Open"))))))</x:f>
      </x:c>
      <x:c r="S92" s="36"/>
      <x:c r="T92" s="36"/>
      <x:c r="U92" s="36"/>
      <x:c r="V92" s="42"/>
      <x:c r="W92" s="36"/>
      <x:c r="X92" s="36" t="str">
        <x:f>IF(E92="","",IF(COUNTIF($E$7:$E$506,E92)&gt;1,"DUPLICATE","OK"))</x:f>
      </x:c>
    </x:row>
    <x:row r="93">
      <x:c r="A93" s="36" t="str">
        <x:v>NEX</x:v>
      </x:c>
      <x:c r="B93" s="36"/>
      <x:c r="C93" s="38"/>
      <x:c r="D93" s="38"/>
      <x:c r="E93" s="36" t="str">
        <x:f>IF(OR(A93="",B93="",C93="",D93=""),"",A93&amp;"-"&amp;B93&amp;"-"&amp;TEXT(C93,"0000")&amp;"-"&amp;TEXT(D93,"0000"))</x:f>
      </x:c>
      <x:c r="F93" s="36" t="str">
        <x:v>R0</x:v>
      </x:c>
      <x:c r="G93" s="40"/>
      <x:c r="H93" s="40"/>
      <x:c r="I93" s="36"/>
      <x:c r="J93" s="36"/>
      <x:c r="K93" s="36"/>
      <x:c r="L93" s="44"/>
      <x:c r="M93" s="36" t="str">
        <x:v>MYR</x:v>
      </x:c>
      <x:c r="N93" s="36"/>
      <x:c r="O93" s="36"/>
      <x:c r="P93" s="40"/>
      <x:c r="Q93" s="36" t="str">
        <x:f>IF(P93="","",P93-TODAY())</x:f>
      </x:c>
      <x:c r="R93" s="36" t="str">
        <x:f>IF(E93="","",IF(X93="DUPLICATE","STOP — DUPLICATE",IF(OR(N93="Completed",N93="Cancelled",N93="Rejected",N93="Superseded"),"Closed",IF(P93="","No due date",IF(Q93&lt;0,"OVERDUE",IF(Q93&lt;=7,"DUE SOON","Open"))))))</x:f>
      </x:c>
      <x:c r="S93" s="36"/>
      <x:c r="T93" s="36"/>
      <x:c r="U93" s="36"/>
      <x:c r="V93" s="42"/>
      <x:c r="W93" s="36"/>
      <x:c r="X93" s="36" t="str">
        <x:f>IF(E93="","",IF(COUNTIF($E$7:$E$506,E93)&gt;1,"DUPLICATE","OK"))</x:f>
      </x:c>
    </x:row>
    <x:row r="94">
      <x:c r="A94" s="36" t="str">
        <x:v>NEX</x:v>
      </x:c>
      <x:c r="B94" s="36"/>
      <x:c r="C94" s="38"/>
      <x:c r="D94" s="38"/>
      <x:c r="E94" s="36" t="str">
        <x:f>IF(OR(A94="",B94="",C94="",D94=""),"",A94&amp;"-"&amp;B94&amp;"-"&amp;TEXT(C94,"0000")&amp;"-"&amp;TEXT(D94,"0000"))</x:f>
      </x:c>
      <x:c r="F94" s="36" t="str">
        <x:v>R0</x:v>
      </x:c>
      <x:c r="G94" s="40"/>
      <x:c r="H94" s="40"/>
      <x:c r="I94" s="36"/>
      <x:c r="J94" s="36"/>
      <x:c r="K94" s="36"/>
      <x:c r="L94" s="44"/>
      <x:c r="M94" s="36" t="str">
        <x:v>MYR</x:v>
      </x:c>
      <x:c r="N94" s="36"/>
      <x:c r="O94" s="36"/>
      <x:c r="P94" s="40"/>
      <x:c r="Q94" s="36" t="str">
        <x:f>IF(P94="","",P94-TODAY())</x:f>
      </x:c>
      <x:c r="R94" s="36" t="str">
        <x:f>IF(E94="","",IF(X94="DUPLICATE","STOP — DUPLICATE",IF(OR(N94="Completed",N94="Cancelled",N94="Rejected",N94="Superseded"),"Closed",IF(P94="","No due date",IF(Q94&lt;0,"OVERDUE",IF(Q94&lt;=7,"DUE SOON","Open"))))))</x:f>
      </x:c>
      <x:c r="S94" s="36"/>
      <x:c r="T94" s="36"/>
      <x:c r="U94" s="36"/>
      <x:c r="V94" s="42"/>
      <x:c r="W94" s="36"/>
      <x:c r="X94" s="36" t="str">
        <x:f>IF(E94="","",IF(COUNTIF($E$7:$E$506,E94)&gt;1,"DUPLICATE","OK"))</x:f>
      </x:c>
    </x:row>
    <x:row r="95">
      <x:c r="A95" s="36" t="str">
        <x:v>NEX</x:v>
      </x:c>
      <x:c r="B95" s="36"/>
      <x:c r="C95" s="38"/>
      <x:c r="D95" s="38"/>
      <x:c r="E95" s="36" t="str">
        <x:f>IF(OR(A95="",B95="",C95="",D95=""),"",A95&amp;"-"&amp;B95&amp;"-"&amp;TEXT(C95,"0000")&amp;"-"&amp;TEXT(D95,"0000"))</x:f>
      </x:c>
      <x:c r="F95" s="36" t="str">
        <x:v>R0</x:v>
      </x:c>
      <x:c r="G95" s="40"/>
      <x:c r="H95" s="40"/>
      <x:c r="I95" s="36"/>
      <x:c r="J95" s="36"/>
      <x:c r="K95" s="36"/>
      <x:c r="L95" s="44"/>
      <x:c r="M95" s="36" t="str">
        <x:v>MYR</x:v>
      </x:c>
      <x:c r="N95" s="36"/>
      <x:c r="O95" s="36"/>
      <x:c r="P95" s="40"/>
      <x:c r="Q95" s="36" t="str">
        <x:f>IF(P95="","",P95-TODAY())</x:f>
      </x:c>
      <x:c r="R95" s="36" t="str">
        <x:f>IF(E95="","",IF(X95="DUPLICATE","STOP — DUPLICATE",IF(OR(N95="Completed",N95="Cancelled",N95="Rejected",N95="Superseded"),"Closed",IF(P95="","No due date",IF(Q95&lt;0,"OVERDUE",IF(Q95&lt;=7,"DUE SOON","Open"))))))</x:f>
      </x:c>
      <x:c r="S95" s="36"/>
      <x:c r="T95" s="36"/>
      <x:c r="U95" s="36"/>
      <x:c r="V95" s="42"/>
      <x:c r="W95" s="36"/>
      <x:c r="X95" s="36" t="str">
        <x:f>IF(E95="","",IF(COUNTIF($E$7:$E$506,E95)&gt;1,"DUPLICATE","OK"))</x:f>
      </x:c>
    </x:row>
    <x:row r="96">
      <x:c r="A96" s="36" t="str">
        <x:v>NEX</x:v>
      </x:c>
      <x:c r="B96" s="36"/>
      <x:c r="C96" s="38"/>
      <x:c r="D96" s="38"/>
      <x:c r="E96" s="36" t="str">
        <x:f>IF(OR(A96="",B96="",C96="",D96=""),"",A96&amp;"-"&amp;B96&amp;"-"&amp;TEXT(C96,"0000")&amp;"-"&amp;TEXT(D96,"0000"))</x:f>
      </x:c>
      <x:c r="F96" s="36" t="str">
        <x:v>R0</x:v>
      </x:c>
      <x:c r="G96" s="40"/>
      <x:c r="H96" s="40"/>
      <x:c r="I96" s="36"/>
      <x:c r="J96" s="36"/>
      <x:c r="K96" s="36"/>
      <x:c r="L96" s="44"/>
      <x:c r="M96" s="36" t="str">
        <x:v>MYR</x:v>
      </x:c>
      <x:c r="N96" s="36"/>
      <x:c r="O96" s="36"/>
      <x:c r="P96" s="40"/>
      <x:c r="Q96" s="36" t="str">
        <x:f>IF(P96="","",P96-TODAY())</x:f>
      </x:c>
      <x:c r="R96" s="36" t="str">
        <x:f>IF(E96="","",IF(X96="DUPLICATE","STOP — DUPLICATE",IF(OR(N96="Completed",N96="Cancelled",N96="Rejected",N96="Superseded"),"Closed",IF(P96="","No due date",IF(Q96&lt;0,"OVERDUE",IF(Q96&lt;=7,"DUE SOON","Open"))))))</x:f>
      </x:c>
      <x:c r="S96" s="36"/>
      <x:c r="T96" s="36"/>
      <x:c r="U96" s="36"/>
      <x:c r="V96" s="42"/>
      <x:c r="W96" s="36"/>
      <x:c r="X96" s="36" t="str">
        <x:f>IF(E96="","",IF(COUNTIF($E$7:$E$506,E96)&gt;1,"DUPLICATE","OK"))</x:f>
      </x:c>
    </x:row>
    <x:row r="97">
      <x:c r="A97" s="36" t="str">
        <x:v>NEX</x:v>
      </x:c>
      <x:c r="B97" s="36"/>
      <x:c r="C97" s="38"/>
      <x:c r="D97" s="38"/>
      <x:c r="E97" s="36" t="str">
        <x:f>IF(OR(A97="",B97="",C97="",D97=""),"",A97&amp;"-"&amp;B97&amp;"-"&amp;TEXT(C97,"0000")&amp;"-"&amp;TEXT(D97,"0000"))</x:f>
      </x:c>
      <x:c r="F97" s="36" t="str">
        <x:v>R0</x:v>
      </x:c>
      <x:c r="G97" s="40"/>
      <x:c r="H97" s="40"/>
      <x:c r="I97" s="36"/>
      <x:c r="J97" s="36"/>
      <x:c r="K97" s="36"/>
      <x:c r="L97" s="44"/>
      <x:c r="M97" s="36" t="str">
        <x:v>MYR</x:v>
      </x:c>
      <x:c r="N97" s="36"/>
      <x:c r="O97" s="36"/>
      <x:c r="P97" s="40"/>
      <x:c r="Q97" s="36" t="str">
        <x:f>IF(P97="","",P97-TODAY())</x:f>
      </x:c>
      <x:c r="R97" s="36" t="str">
        <x:f>IF(E97="","",IF(X97="DUPLICATE","STOP — DUPLICATE",IF(OR(N97="Completed",N97="Cancelled",N97="Rejected",N97="Superseded"),"Closed",IF(P97="","No due date",IF(Q97&lt;0,"OVERDUE",IF(Q97&lt;=7,"DUE SOON","Open"))))))</x:f>
      </x:c>
      <x:c r="S97" s="36"/>
      <x:c r="T97" s="36"/>
      <x:c r="U97" s="36"/>
      <x:c r="V97" s="42"/>
      <x:c r="W97" s="36"/>
      <x:c r="X97" s="36" t="str">
        <x:f>IF(E97="","",IF(COUNTIF($E$7:$E$506,E97)&gt;1,"DUPLICATE","OK"))</x:f>
      </x:c>
    </x:row>
    <x:row r="98">
      <x:c r="A98" s="36" t="str">
        <x:v>NEX</x:v>
      </x:c>
      <x:c r="B98" s="36"/>
      <x:c r="C98" s="38"/>
      <x:c r="D98" s="38"/>
      <x:c r="E98" s="36" t="str">
        <x:f>IF(OR(A98="",B98="",C98="",D98=""),"",A98&amp;"-"&amp;B98&amp;"-"&amp;TEXT(C98,"0000")&amp;"-"&amp;TEXT(D98,"0000"))</x:f>
      </x:c>
      <x:c r="F98" s="36" t="str">
        <x:v>R0</x:v>
      </x:c>
      <x:c r="G98" s="40"/>
      <x:c r="H98" s="40"/>
      <x:c r="I98" s="36"/>
      <x:c r="J98" s="36"/>
      <x:c r="K98" s="36"/>
      <x:c r="L98" s="44"/>
      <x:c r="M98" s="36" t="str">
        <x:v>MYR</x:v>
      </x:c>
      <x:c r="N98" s="36"/>
      <x:c r="O98" s="36"/>
      <x:c r="P98" s="40"/>
      <x:c r="Q98" s="36" t="str">
        <x:f>IF(P98="","",P98-TODAY())</x:f>
      </x:c>
      <x:c r="R98" s="36" t="str">
        <x:f>IF(E98="","",IF(X98="DUPLICATE","STOP — DUPLICATE",IF(OR(N98="Completed",N98="Cancelled",N98="Rejected",N98="Superseded"),"Closed",IF(P98="","No due date",IF(Q98&lt;0,"OVERDUE",IF(Q98&lt;=7,"DUE SOON","Open"))))))</x:f>
      </x:c>
      <x:c r="S98" s="36"/>
      <x:c r="T98" s="36"/>
      <x:c r="U98" s="36"/>
      <x:c r="V98" s="42"/>
      <x:c r="W98" s="36"/>
      <x:c r="X98" s="36" t="str">
        <x:f>IF(E98="","",IF(COUNTIF($E$7:$E$506,E98)&gt;1,"DUPLICATE","OK"))</x:f>
      </x:c>
    </x:row>
    <x:row r="99">
      <x:c r="A99" s="36" t="str">
        <x:v>NEX</x:v>
      </x:c>
      <x:c r="B99" s="36"/>
      <x:c r="C99" s="38"/>
      <x:c r="D99" s="38"/>
      <x:c r="E99" s="36" t="str">
        <x:f>IF(OR(A99="",B99="",C99="",D99=""),"",A99&amp;"-"&amp;B99&amp;"-"&amp;TEXT(C99,"0000")&amp;"-"&amp;TEXT(D99,"0000"))</x:f>
      </x:c>
      <x:c r="F99" s="36" t="str">
        <x:v>R0</x:v>
      </x:c>
      <x:c r="G99" s="40"/>
      <x:c r="H99" s="40"/>
      <x:c r="I99" s="36"/>
      <x:c r="J99" s="36"/>
      <x:c r="K99" s="36"/>
      <x:c r="L99" s="44"/>
      <x:c r="M99" s="36" t="str">
        <x:v>MYR</x:v>
      </x:c>
      <x:c r="N99" s="36"/>
      <x:c r="O99" s="36"/>
      <x:c r="P99" s="40"/>
      <x:c r="Q99" s="36" t="str">
        <x:f>IF(P99="","",P99-TODAY())</x:f>
      </x:c>
      <x:c r="R99" s="36" t="str">
        <x:f>IF(E99="","",IF(X99="DUPLICATE","STOP — DUPLICATE",IF(OR(N99="Completed",N99="Cancelled",N99="Rejected",N99="Superseded"),"Closed",IF(P99="","No due date",IF(Q99&lt;0,"OVERDUE",IF(Q99&lt;=7,"DUE SOON","Open"))))))</x:f>
      </x:c>
      <x:c r="S99" s="36"/>
      <x:c r="T99" s="36"/>
      <x:c r="U99" s="36"/>
      <x:c r="V99" s="42"/>
      <x:c r="W99" s="36"/>
      <x:c r="X99" s="36" t="str">
        <x:f>IF(E99="","",IF(COUNTIF($E$7:$E$506,E99)&gt;1,"DUPLICATE","OK"))</x:f>
      </x:c>
    </x:row>
    <x:row r="100">
      <x:c r="A100" s="36" t="str">
        <x:v>NEX</x:v>
      </x:c>
      <x:c r="B100" s="36"/>
      <x:c r="C100" s="38"/>
      <x:c r="D100" s="38"/>
      <x:c r="E100" s="36" t="str">
        <x:f>IF(OR(A100="",B100="",C100="",D100=""),"",A100&amp;"-"&amp;B100&amp;"-"&amp;TEXT(C100,"0000")&amp;"-"&amp;TEXT(D100,"0000"))</x:f>
      </x:c>
      <x:c r="F100" s="36" t="str">
        <x:v>R0</x:v>
      </x:c>
      <x:c r="G100" s="40"/>
      <x:c r="H100" s="40"/>
      <x:c r="I100" s="36"/>
      <x:c r="J100" s="36"/>
      <x:c r="K100" s="36"/>
      <x:c r="L100" s="44"/>
      <x:c r="M100" s="36" t="str">
        <x:v>MYR</x:v>
      </x:c>
      <x:c r="N100" s="36"/>
      <x:c r="O100" s="36"/>
      <x:c r="P100" s="40"/>
      <x:c r="Q100" s="36" t="str">
        <x:f>IF(P100="","",P100-TODAY())</x:f>
      </x:c>
      <x:c r="R100" s="36" t="str">
        <x:f>IF(E100="","",IF(X100="DUPLICATE","STOP — DUPLICATE",IF(OR(N100="Completed",N100="Cancelled",N100="Rejected",N100="Superseded"),"Closed",IF(P100="","No due date",IF(Q100&lt;0,"OVERDUE",IF(Q100&lt;=7,"DUE SOON","Open"))))))</x:f>
      </x:c>
      <x:c r="S100" s="36"/>
      <x:c r="T100" s="36"/>
      <x:c r="U100" s="36"/>
      <x:c r="V100" s="42"/>
      <x:c r="W100" s="36"/>
      <x:c r="X100" s="36" t="str">
        <x:f>IF(E100="","",IF(COUNTIF($E$7:$E$506,E100)&gt;1,"DUPLICATE","OK"))</x:f>
      </x:c>
    </x:row>
    <x:row r="101">
      <x:c r="A101" s="36" t="str">
        <x:v>NEX</x:v>
      </x:c>
      <x:c r="B101" s="36"/>
      <x:c r="C101" s="38"/>
      <x:c r="D101" s="38"/>
      <x:c r="E101" s="36" t="str">
        <x:f>IF(OR(A101="",B101="",C101="",D101=""),"",A101&amp;"-"&amp;B101&amp;"-"&amp;TEXT(C101,"0000")&amp;"-"&amp;TEXT(D101,"0000"))</x:f>
      </x:c>
      <x:c r="F101" s="36" t="str">
        <x:v>R0</x:v>
      </x:c>
      <x:c r="G101" s="40"/>
      <x:c r="H101" s="40"/>
      <x:c r="I101" s="36"/>
      <x:c r="J101" s="36"/>
      <x:c r="K101" s="36"/>
      <x:c r="L101" s="44"/>
      <x:c r="M101" s="36" t="str">
        <x:v>MYR</x:v>
      </x:c>
      <x:c r="N101" s="36"/>
      <x:c r="O101" s="36"/>
      <x:c r="P101" s="40"/>
      <x:c r="Q101" s="36" t="str">
        <x:f>IF(P101="","",P101-TODAY())</x:f>
      </x:c>
      <x:c r="R101" s="36" t="str">
        <x:f>IF(E101="","",IF(X101="DUPLICATE","STOP — DUPLICATE",IF(OR(N101="Completed",N101="Cancelled",N101="Rejected",N101="Superseded"),"Closed",IF(P101="","No due date",IF(Q101&lt;0,"OVERDUE",IF(Q101&lt;=7,"DUE SOON","Open"))))))</x:f>
      </x:c>
      <x:c r="S101" s="36"/>
      <x:c r="T101" s="36"/>
      <x:c r="U101" s="36"/>
      <x:c r="V101" s="42"/>
      <x:c r="W101" s="36"/>
      <x:c r="X101" s="36" t="str">
        <x:f>IF(E101="","",IF(COUNTIF($E$7:$E$506,E101)&gt;1,"DUPLICATE","OK"))</x:f>
      </x:c>
    </x:row>
    <x:row r="102">
      <x:c r="A102" s="36" t="str">
        <x:v>NEX</x:v>
      </x:c>
      <x:c r="B102" s="36"/>
      <x:c r="C102" s="38"/>
      <x:c r="D102" s="38"/>
      <x:c r="E102" s="36" t="str">
        <x:f>IF(OR(A102="",B102="",C102="",D102=""),"",A102&amp;"-"&amp;B102&amp;"-"&amp;TEXT(C102,"0000")&amp;"-"&amp;TEXT(D102,"0000"))</x:f>
      </x:c>
      <x:c r="F102" s="36" t="str">
        <x:v>R0</x:v>
      </x:c>
      <x:c r="G102" s="40"/>
      <x:c r="H102" s="40"/>
      <x:c r="I102" s="36"/>
      <x:c r="J102" s="36"/>
      <x:c r="K102" s="36"/>
      <x:c r="L102" s="44"/>
      <x:c r="M102" s="36" t="str">
        <x:v>MYR</x:v>
      </x:c>
      <x:c r="N102" s="36"/>
      <x:c r="O102" s="36"/>
      <x:c r="P102" s="40"/>
      <x:c r="Q102" s="36" t="str">
        <x:f>IF(P102="","",P102-TODAY())</x:f>
      </x:c>
      <x:c r="R102" s="36" t="str">
        <x:f>IF(E102="","",IF(X102="DUPLICATE","STOP — DUPLICATE",IF(OR(N102="Completed",N102="Cancelled",N102="Rejected",N102="Superseded"),"Closed",IF(P102="","No due date",IF(Q102&lt;0,"OVERDUE",IF(Q102&lt;=7,"DUE SOON","Open"))))))</x:f>
      </x:c>
      <x:c r="S102" s="36"/>
      <x:c r="T102" s="36"/>
      <x:c r="U102" s="36"/>
      <x:c r="V102" s="42"/>
      <x:c r="W102" s="36"/>
      <x:c r="X102" s="36" t="str">
        <x:f>IF(E102="","",IF(COUNTIF($E$7:$E$506,E102)&gt;1,"DUPLICATE","OK"))</x:f>
      </x:c>
    </x:row>
    <x:row r="103">
      <x:c r="A103" s="36" t="str">
        <x:v>NEX</x:v>
      </x:c>
      <x:c r="B103" s="36"/>
      <x:c r="C103" s="38"/>
      <x:c r="D103" s="38"/>
      <x:c r="E103" s="36" t="str">
        <x:f>IF(OR(A103="",B103="",C103="",D103=""),"",A103&amp;"-"&amp;B103&amp;"-"&amp;TEXT(C103,"0000")&amp;"-"&amp;TEXT(D103,"0000"))</x:f>
      </x:c>
      <x:c r="F103" s="36" t="str">
        <x:v>R0</x:v>
      </x:c>
      <x:c r="G103" s="40"/>
      <x:c r="H103" s="40"/>
      <x:c r="I103" s="36"/>
      <x:c r="J103" s="36"/>
      <x:c r="K103" s="36"/>
      <x:c r="L103" s="44"/>
      <x:c r="M103" s="36" t="str">
        <x:v>MYR</x:v>
      </x:c>
      <x:c r="N103" s="36"/>
      <x:c r="O103" s="36"/>
      <x:c r="P103" s="40"/>
      <x:c r="Q103" s="36" t="str">
        <x:f>IF(P103="","",P103-TODAY())</x:f>
      </x:c>
      <x:c r="R103" s="36" t="str">
        <x:f>IF(E103="","",IF(X103="DUPLICATE","STOP — DUPLICATE",IF(OR(N103="Completed",N103="Cancelled",N103="Rejected",N103="Superseded"),"Closed",IF(P103="","No due date",IF(Q103&lt;0,"OVERDUE",IF(Q103&lt;=7,"DUE SOON","Open"))))))</x:f>
      </x:c>
      <x:c r="S103" s="36"/>
      <x:c r="T103" s="36"/>
      <x:c r="U103" s="36"/>
      <x:c r="V103" s="42"/>
      <x:c r="W103" s="36"/>
      <x:c r="X103" s="36" t="str">
        <x:f>IF(E103="","",IF(COUNTIF($E$7:$E$506,E103)&gt;1,"DUPLICATE","OK"))</x:f>
      </x:c>
    </x:row>
    <x:row r="104">
      <x:c r="A104" s="36" t="str">
        <x:v>NEX</x:v>
      </x:c>
      <x:c r="B104" s="36"/>
      <x:c r="C104" s="38"/>
      <x:c r="D104" s="38"/>
      <x:c r="E104" s="36" t="str">
        <x:f>IF(OR(A104="",B104="",C104="",D104=""),"",A104&amp;"-"&amp;B104&amp;"-"&amp;TEXT(C104,"0000")&amp;"-"&amp;TEXT(D104,"0000"))</x:f>
      </x:c>
      <x:c r="F104" s="36" t="str">
        <x:v>R0</x:v>
      </x:c>
      <x:c r="G104" s="40"/>
      <x:c r="H104" s="40"/>
      <x:c r="I104" s="36"/>
      <x:c r="J104" s="36"/>
      <x:c r="K104" s="36"/>
      <x:c r="L104" s="44"/>
      <x:c r="M104" s="36" t="str">
        <x:v>MYR</x:v>
      </x:c>
      <x:c r="N104" s="36"/>
      <x:c r="O104" s="36"/>
      <x:c r="P104" s="40"/>
      <x:c r="Q104" s="36" t="str">
        <x:f>IF(P104="","",P104-TODAY())</x:f>
      </x:c>
      <x:c r="R104" s="36" t="str">
        <x:f>IF(E104="","",IF(X104="DUPLICATE","STOP — DUPLICATE",IF(OR(N104="Completed",N104="Cancelled",N104="Rejected",N104="Superseded"),"Closed",IF(P104="","No due date",IF(Q104&lt;0,"OVERDUE",IF(Q104&lt;=7,"DUE SOON","Open"))))))</x:f>
      </x:c>
      <x:c r="S104" s="36"/>
      <x:c r="T104" s="36"/>
      <x:c r="U104" s="36"/>
      <x:c r="V104" s="42"/>
      <x:c r="W104" s="36"/>
      <x:c r="X104" s="36" t="str">
        <x:f>IF(E104="","",IF(COUNTIF($E$7:$E$506,E104)&gt;1,"DUPLICATE","OK"))</x:f>
      </x:c>
    </x:row>
    <x:row r="105">
      <x:c r="A105" s="36" t="str">
        <x:v>NEX</x:v>
      </x:c>
      <x:c r="B105" s="36"/>
      <x:c r="C105" s="38"/>
      <x:c r="D105" s="38"/>
      <x:c r="E105" s="36" t="str">
        <x:f>IF(OR(A105="",B105="",C105="",D105=""),"",A105&amp;"-"&amp;B105&amp;"-"&amp;TEXT(C105,"0000")&amp;"-"&amp;TEXT(D105,"0000"))</x:f>
      </x:c>
      <x:c r="F105" s="36" t="str">
        <x:v>R0</x:v>
      </x:c>
      <x:c r="G105" s="40"/>
      <x:c r="H105" s="40"/>
      <x:c r="I105" s="36"/>
      <x:c r="J105" s="36"/>
      <x:c r="K105" s="36"/>
      <x:c r="L105" s="44"/>
      <x:c r="M105" s="36" t="str">
        <x:v>MYR</x:v>
      </x:c>
      <x:c r="N105" s="36"/>
      <x:c r="O105" s="36"/>
      <x:c r="P105" s="40"/>
      <x:c r="Q105" s="36" t="str">
        <x:f>IF(P105="","",P105-TODAY())</x:f>
      </x:c>
      <x:c r="R105" s="36" t="str">
        <x:f>IF(E105="","",IF(X105="DUPLICATE","STOP — DUPLICATE",IF(OR(N105="Completed",N105="Cancelled",N105="Rejected",N105="Superseded"),"Closed",IF(P105="","No due date",IF(Q105&lt;0,"OVERDUE",IF(Q105&lt;=7,"DUE SOON","Open"))))))</x:f>
      </x:c>
      <x:c r="S105" s="36"/>
      <x:c r="T105" s="36"/>
      <x:c r="U105" s="36"/>
      <x:c r="V105" s="42"/>
      <x:c r="W105" s="36"/>
      <x:c r="X105" s="36" t="str">
        <x:f>IF(E105="","",IF(COUNTIF($E$7:$E$506,E105)&gt;1,"DUPLICATE","OK"))</x:f>
      </x:c>
    </x:row>
    <x:row r="106">
      <x:c r="A106" s="36" t="str">
        <x:v>NEX</x:v>
      </x:c>
      <x:c r="B106" s="36"/>
      <x:c r="C106" s="38"/>
      <x:c r="D106" s="38"/>
      <x:c r="E106" s="36" t="str">
        <x:f>IF(OR(A106="",B106="",C106="",D106=""),"",A106&amp;"-"&amp;B106&amp;"-"&amp;TEXT(C106,"0000")&amp;"-"&amp;TEXT(D106,"0000"))</x:f>
      </x:c>
      <x:c r="F106" s="36" t="str">
        <x:v>R0</x:v>
      </x:c>
      <x:c r="G106" s="40"/>
      <x:c r="H106" s="40"/>
      <x:c r="I106" s="36"/>
      <x:c r="J106" s="36"/>
      <x:c r="K106" s="36"/>
      <x:c r="L106" s="44"/>
      <x:c r="M106" s="36" t="str">
        <x:v>MYR</x:v>
      </x:c>
      <x:c r="N106" s="36"/>
      <x:c r="O106" s="36"/>
      <x:c r="P106" s="40"/>
      <x:c r="Q106" s="36" t="str">
        <x:f>IF(P106="","",P106-TODAY())</x:f>
      </x:c>
      <x:c r="R106" s="36" t="str">
        <x:f>IF(E106="","",IF(X106="DUPLICATE","STOP — DUPLICATE",IF(OR(N106="Completed",N106="Cancelled",N106="Rejected",N106="Superseded"),"Closed",IF(P106="","No due date",IF(Q106&lt;0,"OVERDUE",IF(Q106&lt;=7,"DUE SOON","Open"))))))</x:f>
      </x:c>
      <x:c r="S106" s="36"/>
      <x:c r="T106" s="36"/>
      <x:c r="U106" s="36"/>
      <x:c r="V106" s="42"/>
      <x:c r="W106" s="36"/>
      <x:c r="X106" s="36" t="str">
        <x:f>IF(E106="","",IF(COUNTIF($E$7:$E$506,E106)&gt;1,"DUPLICATE","OK"))</x:f>
      </x:c>
    </x:row>
    <x:row r="107">
      <x:c r="A107" s="36" t="str">
        <x:v>NEX</x:v>
      </x:c>
      <x:c r="B107" s="36"/>
      <x:c r="C107" s="38"/>
      <x:c r="D107" s="38"/>
      <x:c r="E107" s="36" t="str">
        <x:f>IF(OR(A107="",B107="",C107="",D107=""),"",A107&amp;"-"&amp;B107&amp;"-"&amp;TEXT(C107,"0000")&amp;"-"&amp;TEXT(D107,"0000"))</x:f>
      </x:c>
      <x:c r="F107" s="36" t="str">
        <x:v>R0</x:v>
      </x:c>
      <x:c r="G107" s="40"/>
      <x:c r="H107" s="40"/>
      <x:c r="I107" s="36"/>
      <x:c r="J107" s="36"/>
      <x:c r="K107" s="36"/>
      <x:c r="L107" s="44"/>
      <x:c r="M107" s="36" t="str">
        <x:v>MYR</x:v>
      </x:c>
      <x:c r="N107" s="36"/>
      <x:c r="O107" s="36"/>
      <x:c r="P107" s="40"/>
      <x:c r="Q107" s="36" t="str">
        <x:f>IF(P107="","",P107-TODAY())</x:f>
      </x:c>
      <x:c r="R107" s="36" t="str">
        <x:f>IF(E107="","",IF(X107="DUPLICATE","STOP — DUPLICATE",IF(OR(N107="Completed",N107="Cancelled",N107="Rejected",N107="Superseded"),"Closed",IF(P107="","No due date",IF(Q107&lt;0,"OVERDUE",IF(Q107&lt;=7,"DUE SOON","Open"))))))</x:f>
      </x:c>
      <x:c r="S107" s="36"/>
      <x:c r="T107" s="36"/>
      <x:c r="U107" s="36"/>
      <x:c r="V107" s="42"/>
      <x:c r="W107" s="36"/>
      <x:c r="X107" s="36" t="str">
        <x:f>IF(E107="","",IF(COUNTIF($E$7:$E$506,E107)&gt;1,"DUPLICATE","OK"))</x:f>
      </x:c>
    </x:row>
    <x:row r="108">
      <x:c r="A108" s="36" t="str">
        <x:v>NEX</x:v>
      </x:c>
      <x:c r="B108" s="36"/>
      <x:c r="C108" s="38"/>
      <x:c r="D108" s="38"/>
      <x:c r="E108" s="36" t="str">
        <x:f>IF(OR(A108="",B108="",C108="",D108=""),"",A108&amp;"-"&amp;B108&amp;"-"&amp;TEXT(C108,"0000")&amp;"-"&amp;TEXT(D108,"0000"))</x:f>
      </x:c>
      <x:c r="F108" s="36" t="str">
        <x:v>R0</x:v>
      </x:c>
      <x:c r="G108" s="40"/>
      <x:c r="H108" s="40"/>
      <x:c r="I108" s="36"/>
      <x:c r="J108" s="36"/>
      <x:c r="K108" s="36"/>
      <x:c r="L108" s="44"/>
      <x:c r="M108" s="36" t="str">
        <x:v>MYR</x:v>
      </x:c>
      <x:c r="N108" s="36"/>
      <x:c r="O108" s="36"/>
      <x:c r="P108" s="40"/>
      <x:c r="Q108" s="36" t="str">
        <x:f>IF(P108="","",P108-TODAY())</x:f>
      </x:c>
      <x:c r="R108" s="36" t="str">
        <x:f>IF(E108="","",IF(X108="DUPLICATE","STOP — DUPLICATE",IF(OR(N108="Completed",N108="Cancelled",N108="Rejected",N108="Superseded"),"Closed",IF(P108="","No due date",IF(Q108&lt;0,"OVERDUE",IF(Q108&lt;=7,"DUE SOON","Open"))))))</x:f>
      </x:c>
      <x:c r="S108" s="36"/>
      <x:c r="T108" s="36"/>
      <x:c r="U108" s="36"/>
      <x:c r="V108" s="42"/>
      <x:c r="W108" s="36"/>
      <x:c r="X108" s="36" t="str">
        <x:f>IF(E108="","",IF(COUNTIF($E$7:$E$506,E108)&gt;1,"DUPLICATE","OK"))</x:f>
      </x:c>
    </x:row>
    <x:row r="109">
      <x:c r="A109" s="36" t="str">
        <x:v>NEX</x:v>
      </x:c>
      <x:c r="B109" s="36"/>
      <x:c r="C109" s="38"/>
      <x:c r="D109" s="38"/>
      <x:c r="E109" s="36" t="str">
        <x:f>IF(OR(A109="",B109="",C109="",D109=""),"",A109&amp;"-"&amp;B109&amp;"-"&amp;TEXT(C109,"0000")&amp;"-"&amp;TEXT(D109,"0000"))</x:f>
      </x:c>
      <x:c r="F109" s="36" t="str">
        <x:v>R0</x:v>
      </x:c>
      <x:c r="G109" s="40"/>
      <x:c r="H109" s="40"/>
      <x:c r="I109" s="36"/>
      <x:c r="J109" s="36"/>
      <x:c r="K109" s="36"/>
      <x:c r="L109" s="44"/>
      <x:c r="M109" s="36" t="str">
        <x:v>MYR</x:v>
      </x:c>
      <x:c r="N109" s="36"/>
      <x:c r="O109" s="36"/>
      <x:c r="P109" s="40"/>
      <x:c r="Q109" s="36" t="str">
        <x:f>IF(P109="","",P109-TODAY())</x:f>
      </x:c>
      <x:c r="R109" s="36" t="str">
        <x:f>IF(E109="","",IF(X109="DUPLICATE","STOP — DUPLICATE",IF(OR(N109="Completed",N109="Cancelled",N109="Rejected",N109="Superseded"),"Closed",IF(P109="","No due date",IF(Q109&lt;0,"OVERDUE",IF(Q109&lt;=7,"DUE SOON","Open"))))))</x:f>
      </x:c>
      <x:c r="S109" s="36"/>
      <x:c r="T109" s="36"/>
      <x:c r="U109" s="36"/>
      <x:c r="V109" s="42"/>
      <x:c r="W109" s="36"/>
      <x:c r="X109" s="36" t="str">
        <x:f>IF(E109="","",IF(COUNTIF($E$7:$E$506,E109)&gt;1,"DUPLICATE","OK"))</x:f>
      </x:c>
    </x:row>
    <x:row r="110">
      <x:c r="A110" s="36" t="str">
        <x:v>NEX</x:v>
      </x:c>
      <x:c r="B110" s="36"/>
      <x:c r="C110" s="38"/>
      <x:c r="D110" s="38"/>
      <x:c r="E110" s="36" t="str">
        <x:f>IF(OR(A110="",B110="",C110="",D110=""),"",A110&amp;"-"&amp;B110&amp;"-"&amp;TEXT(C110,"0000")&amp;"-"&amp;TEXT(D110,"0000"))</x:f>
      </x:c>
      <x:c r="F110" s="36" t="str">
        <x:v>R0</x:v>
      </x:c>
      <x:c r="G110" s="40"/>
      <x:c r="H110" s="40"/>
      <x:c r="I110" s="36"/>
      <x:c r="J110" s="36"/>
      <x:c r="K110" s="36"/>
      <x:c r="L110" s="44"/>
      <x:c r="M110" s="36" t="str">
        <x:v>MYR</x:v>
      </x:c>
      <x:c r="N110" s="36"/>
      <x:c r="O110" s="36"/>
      <x:c r="P110" s="40"/>
      <x:c r="Q110" s="36" t="str">
        <x:f>IF(P110="","",P110-TODAY())</x:f>
      </x:c>
      <x:c r="R110" s="36" t="str">
        <x:f>IF(E110="","",IF(X110="DUPLICATE","STOP — DUPLICATE",IF(OR(N110="Completed",N110="Cancelled",N110="Rejected",N110="Superseded"),"Closed",IF(P110="","No due date",IF(Q110&lt;0,"OVERDUE",IF(Q110&lt;=7,"DUE SOON","Open"))))))</x:f>
      </x:c>
      <x:c r="S110" s="36"/>
      <x:c r="T110" s="36"/>
      <x:c r="U110" s="36"/>
      <x:c r="V110" s="42"/>
      <x:c r="W110" s="36"/>
      <x:c r="X110" s="36" t="str">
        <x:f>IF(E110="","",IF(COUNTIF($E$7:$E$506,E110)&gt;1,"DUPLICATE","OK"))</x:f>
      </x:c>
    </x:row>
    <x:row r="111">
      <x:c r="A111" s="36" t="str">
        <x:v>NEX</x:v>
      </x:c>
      <x:c r="B111" s="36"/>
      <x:c r="C111" s="38"/>
      <x:c r="D111" s="38"/>
      <x:c r="E111" s="36" t="str">
        <x:f>IF(OR(A111="",B111="",C111="",D111=""),"",A111&amp;"-"&amp;B111&amp;"-"&amp;TEXT(C111,"0000")&amp;"-"&amp;TEXT(D111,"0000"))</x:f>
      </x:c>
      <x:c r="F111" s="36" t="str">
        <x:v>R0</x:v>
      </x:c>
      <x:c r="G111" s="40"/>
      <x:c r="H111" s="40"/>
      <x:c r="I111" s="36"/>
      <x:c r="J111" s="36"/>
      <x:c r="K111" s="36"/>
      <x:c r="L111" s="44"/>
      <x:c r="M111" s="36" t="str">
        <x:v>MYR</x:v>
      </x:c>
      <x:c r="N111" s="36"/>
      <x:c r="O111" s="36"/>
      <x:c r="P111" s="40"/>
      <x:c r="Q111" s="36" t="str">
        <x:f>IF(P111="","",P111-TODAY())</x:f>
      </x:c>
      <x:c r="R111" s="36" t="str">
        <x:f>IF(E111="","",IF(X111="DUPLICATE","STOP — DUPLICATE",IF(OR(N111="Completed",N111="Cancelled",N111="Rejected",N111="Superseded"),"Closed",IF(P111="","No due date",IF(Q111&lt;0,"OVERDUE",IF(Q111&lt;=7,"DUE SOON","Open"))))))</x:f>
      </x:c>
      <x:c r="S111" s="36"/>
      <x:c r="T111" s="36"/>
      <x:c r="U111" s="36"/>
      <x:c r="V111" s="42"/>
      <x:c r="W111" s="36"/>
      <x:c r="X111" s="36" t="str">
        <x:f>IF(E111="","",IF(COUNTIF($E$7:$E$506,E111)&gt;1,"DUPLICATE","OK"))</x:f>
      </x:c>
    </x:row>
    <x:row r="112">
      <x:c r="A112" s="36" t="str">
        <x:v>NEX</x:v>
      </x:c>
      <x:c r="B112" s="36"/>
      <x:c r="C112" s="38"/>
      <x:c r="D112" s="38"/>
      <x:c r="E112" s="36" t="str">
        <x:f>IF(OR(A112="",B112="",C112="",D112=""),"",A112&amp;"-"&amp;B112&amp;"-"&amp;TEXT(C112,"0000")&amp;"-"&amp;TEXT(D112,"0000"))</x:f>
      </x:c>
      <x:c r="F112" s="36" t="str">
        <x:v>R0</x:v>
      </x:c>
      <x:c r="G112" s="40"/>
      <x:c r="H112" s="40"/>
      <x:c r="I112" s="36"/>
      <x:c r="J112" s="36"/>
      <x:c r="K112" s="36"/>
      <x:c r="L112" s="44"/>
      <x:c r="M112" s="36" t="str">
        <x:v>MYR</x:v>
      </x:c>
      <x:c r="N112" s="36"/>
      <x:c r="O112" s="36"/>
      <x:c r="P112" s="40"/>
      <x:c r="Q112" s="36" t="str">
        <x:f>IF(P112="","",P112-TODAY())</x:f>
      </x:c>
      <x:c r="R112" s="36" t="str">
        <x:f>IF(E112="","",IF(X112="DUPLICATE","STOP — DUPLICATE",IF(OR(N112="Completed",N112="Cancelled",N112="Rejected",N112="Superseded"),"Closed",IF(P112="","No due date",IF(Q112&lt;0,"OVERDUE",IF(Q112&lt;=7,"DUE SOON","Open"))))))</x:f>
      </x:c>
      <x:c r="S112" s="36"/>
      <x:c r="T112" s="36"/>
      <x:c r="U112" s="36"/>
      <x:c r="V112" s="42"/>
      <x:c r="W112" s="36"/>
      <x:c r="X112" s="36" t="str">
        <x:f>IF(E112="","",IF(COUNTIF($E$7:$E$506,E112)&gt;1,"DUPLICATE","OK"))</x:f>
      </x:c>
    </x:row>
    <x:row r="113">
      <x:c r="A113" s="36" t="str">
        <x:v>NEX</x:v>
      </x:c>
      <x:c r="B113" s="36"/>
      <x:c r="C113" s="38"/>
      <x:c r="D113" s="38"/>
      <x:c r="E113" s="36" t="str">
        <x:f>IF(OR(A113="",B113="",C113="",D113=""),"",A113&amp;"-"&amp;B113&amp;"-"&amp;TEXT(C113,"0000")&amp;"-"&amp;TEXT(D113,"0000"))</x:f>
      </x:c>
      <x:c r="F113" s="36" t="str">
        <x:v>R0</x:v>
      </x:c>
      <x:c r="G113" s="40"/>
      <x:c r="H113" s="40"/>
      <x:c r="I113" s="36"/>
      <x:c r="J113" s="36"/>
      <x:c r="K113" s="36"/>
      <x:c r="L113" s="44"/>
      <x:c r="M113" s="36" t="str">
        <x:v>MYR</x:v>
      </x:c>
      <x:c r="N113" s="36"/>
      <x:c r="O113" s="36"/>
      <x:c r="P113" s="40"/>
      <x:c r="Q113" s="36" t="str">
        <x:f>IF(P113="","",P113-TODAY())</x:f>
      </x:c>
      <x:c r="R113" s="36" t="str">
        <x:f>IF(E113="","",IF(X113="DUPLICATE","STOP — DUPLICATE",IF(OR(N113="Completed",N113="Cancelled",N113="Rejected",N113="Superseded"),"Closed",IF(P113="","No due date",IF(Q113&lt;0,"OVERDUE",IF(Q113&lt;=7,"DUE SOON","Open"))))))</x:f>
      </x:c>
      <x:c r="S113" s="36"/>
      <x:c r="T113" s="36"/>
      <x:c r="U113" s="36"/>
      <x:c r="V113" s="42"/>
      <x:c r="W113" s="36"/>
      <x:c r="X113" s="36" t="str">
        <x:f>IF(E113="","",IF(COUNTIF($E$7:$E$506,E113)&gt;1,"DUPLICATE","OK"))</x:f>
      </x:c>
    </x:row>
    <x:row r="114">
      <x:c r="A114" s="36" t="str">
        <x:v>NEX</x:v>
      </x:c>
      <x:c r="B114" s="36"/>
      <x:c r="C114" s="38"/>
      <x:c r="D114" s="38"/>
      <x:c r="E114" s="36" t="str">
        <x:f>IF(OR(A114="",B114="",C114="",D114=""),"",A114&amp;"-"&amp;B114&amp;"-"&amp;TEXT(C114,"0000")&amp;"-"&amp;TEXT(D114,"0000"))</x:f>
      </x:c>
      <x:c r="F114" s="36" t="str">
        <x:v>R0</x:v>
      </x:c>
      <x:c r="G114" s="40"/>
      <x:c r="H114" s="40"/>
      <x:c r="I114" s="36"/>
      <x:c r="J114" s="36"/>
      <x:c r="K114" s="36"/>
      <x:c r="L114" s="44"/>
      <x:c r="M114" s="36" t="str">
        <x:v>MYR</x:v>
      </x:c>
      <x:c r="N114" s="36"/>
      <x:c r="O114" s="36"/>
      <x:c r="P114" s="40"/>
      <x:c r="Q114" s="36" t="str">
        <x:f>IF(P114="","",P114-TODAY())</x:f>
      </x:c>
      <x:c r="R114" s="36" t="str">
        <x:f>IF(E114="","",IF(X114="DUPLICATE","STOP — DUPLICATE",IF(OR(N114="Completed",N114="Cancelled",N114="Rejected",N114="Superseded"),"Closed",IF(P114="","No due date",IF(Q114&lt;0,"OVERDUE",IF(Q114&lt;=7,"DUE SOON","Open"))))))</x:f>
      </x:c>
      <x:c r="S114" s="36"/>
      <x:c r="T114" s="36"/>
      <x:c r="U114" s="36"/>
      <x:c r="V114" s="42"/>
      <x:c r="W114" s="36"/>
      <x:c r="X114" s="36" t="str">
        <x:f>IF(E114="","",IF(COUNTIF($E$7:$E$506,E114)&gt;1,"DUPLICATE","OK"))</x:f>
      </x:c>
    </x:row>
    <x:row r="115">
      <x:c r="A115" s="36" t="str">
        <x:v>NEX</x:v>
      </x:c>
      <x:c r="B115" s="36"/>
      <x:c r="C115" s="38"/>
      <x:c r="D115" s="38"/>
      <x:c r="E115" s="36" t="str">
        <x:f>IF(OR(A115="",B115="",C115="",D115=""),"",A115&amp;"-"&amp;B115&amp;"-"&amp;TEXT(C115,"0000")&amp;"-"&amp;TEXT(D115,"0000"))</x:f>
      </x:c>
      <x:c r="F115" s="36" t="str">
        <x:v>R0</x:v>
      </x:c>
      <x:c r="G115" s="40"/>
      <x:c r="H115" s="40"/>
      <x:c r="I115" s="36"/>
      <x:c r="J115" s="36"/>
      <x:c r="K115" s="36"/>
      <x:c r="L115" s="44"/>
      <x:c r="M115" s="36" t="str">
        <x:v>MYR</x:v>
      </x:c>
      <x:c r="N115" s="36"/>
      <x:c r="O115" s="36"/>
      <x:c r="P115" s="40"/>
      <x:c r="Q115" s="36" t="str">
        <x:f>IF(P115="","",P115-TODAY())</x:f>
      </x:c>
      <x:c r="R115" s="36" t="str">
        <x:f>IF(E115="","",IF(X115="DUPLICATE","STOP — DUPLICATE",IF(OR(N115="Completed",N115="Cancelled",N115="Rejected",N115="Superseded"),"Closed",IF(P115="","No due date",IF(Q115&lt;0,"OVERDUE",IF(Q115&lt;=7,"DUE SOON","Open"))))))</x:f>
      </x:c>
      <x:c r="S115" s="36"/>
      <x:c r="T115" s="36"/>
      <x:c r="U115" s="36"/>
      <x:c r="V115" s="42"/>
      <x:c r="W115" s="36"/>
      <x:c r="X115" s="36" t="str">
        <x:f>IF(E115="","",IF(COUNTIF($E$7:$E$506,E115)&gt;1,"DUPLICATE","OK"))</x:f>
      </x:c>
    </x:row>
    <x:row r="116">
      <x:c r="A116" s="36" t="str">
        <x:v>NEX</x:v>
      </x:c>
      <x:c r="B116" s="36"/>
      <x:c r="C116" s="38"/>
      <x:c r="D116" s="38"/>
      <x:c r="E116" s="36" t="str">
        <x:f>IF(OR(A116="",B116="",C116="",D116=""),"",A116&amp;"-"&amp;B116&amp;"-"&amp;TEXT(C116,"0000")&amp;"-"&amp;TEXT(D116,"0000"))</x:f>
      </x:c>
      <x:c r="F116" s="36" t="str">
        <x:v>R0</x:v>
      </x:c>
      <x:c r="G116" s="40"/>
      <x:c r="H116" s="40"/>
      <x:c r="I116" s="36"/>
      <x:c r="J116" s="36"/>
      <x:c r="K116" s="36"/>
      <x:c r="L116" s="44"/>
      <x:c r="M116" s="36" t="str">
        <x:v>MYR</x:v>
      </x:c>
      <x:c r="N116" s="36"/>
      <x:c r="O116" s="36"/>
      <x:c r="P116" s="40"/>
      <x:c r="Q116" s="36" t="str">
        <x:f>IF(P116="","",P116-TODAY())</x:f>
      </x:c>
      <x:c r="R116" s="36" t="str">
        <x:f>IF(E116="","",IF(X116="DUPLICATE","STOP — DUPLICATE",IF(OR(N116="Completed",N116="Cancelled",N116="Rejected",N116="Superseded"),"Closed",IF(P116="","No due date",IF(Q116&lt;0,"OVERDUE",IF(Q116&lt;=7,"DUE SOON","Open"))))))</x:f>
      </x:c>
      <x:c r="S116" s="36"/>
      <x:c r="T116" s="36"/>
      <x:c r="U116" s="36"/>
      <x:c r="V116" s="42"/>
      <x:c r="W116" s="36"/>
      <x:c r="X116" s="36" t="str">
        <x:f>IF(E116="","",IF(COUNTIF($E$7:$E$506,E116)&gt;1,"DUPLICATE","OK"))</x:f>
      </x:c>
    </x:row>
    <x:row r="117">
      <x:c r="A117" s="36" t="str">
        <x:v>NEX</x:v>
      </x:c>
      <x:c r="B117" s="36"/>
      <x:c r="C117" s="38"/>
      <x:c r="D117" s="38"/>
      <x:c r="E117" s="36" t="str">
        <x:f>IF(OR(A117="",B117="",C117="",D117=""),"",A117&amp;"-"&amp;B117&amp;"-"&amp;TEXT(C117,"0000")&amp;"-"&amp;TEXT(D117,"0000"))</x:f>
      </x:c>
      <x:c r="F117" s="36" t="str">
        <x:v>R0</x:v>
      </x:c>
      <x:c r="G117" s="40"/>
      <x:c r="H117" s="40"/>
      <x:c r="I117" s="36"/>
      <x:c r="J117" s="36"/>
      <x:c r="K117" s="36"/>
      <x:c r="L117" s="44"/>
      <x:c r="M117" s="36" t="str">
        <x:v>MYR</x:v>
      </x:c>
      <x:c r="N117" s="36"/>
      <x:c r="O117" s="36"/>
      <x:c r="P117" s="40"/>
      <x:c r="Q117" s="36" t="str">
        <x:f>IF(P117="","",P117-TODAY())</x:f>
      </x:c>
      <x:c r="R117" s="36" t="str">
        <x:f>IF(E117="","",IF(X117="DUPLICATE","STOP — DUPLICATE",IF(OR(N117="Completed",N117="Cancelled",N117="Rejected",N117="Superseded"),"Closed",IF(P117="","No due date",IF(Q117&lt;0,"OVERDUE",IF(Q117&lt;=7,"DUE SOON","Open"))))))</x:f>
      </x:c>
      <x:c r="S117" s="36"/>
      <x:c r="T117" s="36"/>
      <x:c r="U117" s="36"/>
      <x:c r="V117" s="42"/>
      <x:c r="W117" s="36"/>
      <x:c r="X117" s="36" t="str">
        <x:f>IF(E117="","",IF(COUNTIF($E$7:$E$506,E117)&gt;1,"DUPLICATE","OK"))</x:f>
      </x:c>
    </x:row>
    <x:row r="118">
      <x:c r="A118" s="36" t="str">
        <x:v>NEX</x:v>
      </x:c>
      <x:c r="B118" s="36"/>
      <x:c r="C118" s="38"/>
      <x:c r="D118" s="38"/>
      <x:c r="E118" s="36" t="str">
        <x:f>IF(OR(A118="",B118="",C118="",D118=""),"",A118&amp;"-"&amp;B118&amp;"-"&amp;TEXT(C118,"0000")&amp;"-"&amp;TEXT(D118,"0000"))</x:f>
      </x:c>
      <x:c r="F118" s="36" t="str">
        <x:v>R0</x:v>
      </x:c>
      <x:c r="G118" s="40"/>
      <x:c r="H118" s="40"/>
      <x:c r="I118" s="36"/>
      <x:c r="J118" s="36"/>
      <x:c r="K118" s="36"/>
      <x:c r="L118" s="44"/>
      <x:c r="M118" s="36" t="str">
        <x:v>MYR</x:v>
      </x:c>
      <x:c r="N118" s="36"/>
      <x:c r="O118" s="36"/>
      <x:c r="P118" s="40"/>
      <x:c r="Q118" s="36" t="str">
        <x:f>IF(P118="","",P118-TODAY())</x:f>
      </x:c>
      <x:c r="R118" s="36" t="str">
        <x:f>IF(E118="","",IF(X118="DUPLICATE","STOP — DUPLICATE",IF(OR(N118="Completed",N118="Cancelled",N118="Rejected",N118="Superseded"),"Closed",IF(P118="","No due date",IF(Q118&lt;0,"OVERDUE",IF(Q118&lt;=7,"DUE SOON","Open"))))))</x:f>
      </x:c>
      <x:c r="S118" s="36"/>
      <x:c r="T118" s="36"/>
      <x:c r="U118" s="36"/>
      <x:c r="V118" s="42"/>
      <x:c r="W118" s="36"/>
      <x:c r="X118" s="36" t="str">
        <x:f>IF(E118="","",IF(COUNTIF($E$7:$E$506,E118)&gt;1,"DUPLICATE","OK"))</x:f>
      </x:c>
    </x:row>
    <x:row r="119">
      <x:c r="A119" s="36" t="str">
        <x:v>NEX</x:v>
      </x:c>
      <x:c r="B119" s="36"/>
      <x:c r="C119" s="38"/>
      <x:c r="D119" s="38"/>
      <x:c r="E119" s="36" t="str">
        <x:f>IF(OR(A119="",B119="",C119="",D119=""),"",A119&amp;"-"&amp;B119&amp;"-"&amp;TEXT(C119,"0000")&amp;"-"&amp;TEXT(D119,"0000"))</x:f>
      </x:c>
      <x:c r="F119" s="36" t="str">
        <x:v>R0</x:v>
      </x:c>
      <x:c r="G119" s="40"/>
      <x:c r="H119" s="40"/>
      <x:c r="I119" s="36"/>
      <x:c r="J119" s="36"/>
      <x:c r="K119" s="36"/>
      <x:c r="L119" s="44"/>
      <x:c r="M119" s="36" t="str">
        <x:v>MYR</x:v>
      </x:c>
      <x:c r="N119" s="36"/>
      <x:c r="O119" s="36"/>
      <x:c r="P119" s="40"/>
      <x:c r="Q119" s="36" t="str">
        <x:f>IF(P119="","",P119-TODAY())</x:f>
      </x:c>
      <x:c r="R119" s="36" t="str">
        <x:f>IF(E119="","",IF(X119="DUPLICATE","STOP — DUPLICATE",IF(OR(N119="Completed",N119="Cancelled",N119="Rejected",N119="Superseded"),"Closed",IF(P119="","No due date",IF(Q119&lt;0,"OVERDUE",IF(Q119&lt;=7,"DUE SOON","Open"))))))</x:f>
      </x:c>
      <x:c r="S119" s="36"/>
      <x:c r="T119" s="36"/>
      <x:c r="U119" s="36"/>
      <x:c r="V119" s="42"/>
      <x:c r="W119" s="36"/>
      <x:c r="X119" s="36" t="str">
        <x:f>IF(E119="","",IF(COUNTIF($E$7:$E$506,E119)&gt;1,"DUPLICATE","OK"))</x:f>
      </x:c>
    </x:row>
    <x:row r="120">
      <x:c r="A120" s="36" t="str">
        <x:v>NEX</x:v>
      </x:c>
      <x:c r="B120" s="36"/>
      <x:c r="C120" s="38"/>
      <x:c r="D120" s="38"/>
      <x:c r="E120" s="36" t="str">
        <x:f>IF(OR(A120="",B120="",C120="",D120=""),"",A120&amp;"-"&amp;B120&amp;"-"&amp;TEXT(C120,"0000")&amp;"-"&amp;TEXT(D120,"0000"))</x:f>
      </x:c>
      <x:c r="F120" s="36" t="str">
        <x:v>R0</x:v>
      </x:c>
      <x:c r="G120" s="40"/>
      <x:c r="H120" s="40"/>
      <x:c r="I120" s="36"/>
      <x:c r="J120" s="36"/>
      <x:c r="K120" s="36"/>
      <x:c r="L120" s="44"/>
      <x:c r="M120" s="36" t="str">
        <x:v>MYR</x:v>
      </x:c>
      <x:c r="N120" s="36"/>
      <x:c r="O120" s="36"/>
      <x:c r="P120" s="40"/>
      <x:c r="Q120" s="36" t="str">
        <x:f>IF(P120="","",P120-TODAY())</x:f>
      </x:c>
      <x:c r="R120" s="36" t="str">
        <x:f>IF(E120="","",IF(X120="DUPLICATE","STOP — DUPLICATE",IF(OR(N120="Completed",N120="Cancelled",N120="Rejected",N120="Superseded"),"Closed",IF(P120="","No due date",IF(Q120&lt;0,"OVERDUE",IF(Q120&lt;=7,"DUE SOON","Open"))))))</x:f>
      </x:c>
      <x:c r="S120" s="36"/>
      <x:c r="T120" s="36"/>
      <x:c r="U120" s="36"/>
      <x:c r="V120" s="42"/>
      <x:c r="W120" s="36"/>
      <x:c r="X120" s="36" t="str">
        <x:f>IF(E120="","",IF(COUNTIF($E$7:$E$506,E120)&gt;1,"DUPLICATE","OK"))</x:f>
      </x:c>
    </x:row>
    <x:row r="121">
      <x:c r="A121" s="36" t="str">
        <x:v>NEX</x:v>
      </x:c>
      <x:c r="B121" s="36"/>
      <x:c r="C121" s="38"/>
      <x:c r="D121" s="38"/>
      <x:c r="E121" s="36" t="str">
        <x:f>IF(OR(A121="",B121="",C121="",D121=""),"",A121&amp;"-"&amp;B121&amp;"-"&amp;TEXT(C121,"0000")&amp;"-"&amp;TEXT(D121,"0000"))</x:f>
      </x:c>
      <x:c r="F121" s="36" t="str">
        <x:v>R0</x:v>
      </x:c>
      <x:c r="G121" s="40"/>
      <x:c r="H121" s="40"/>
      <x:c r="I121" s="36"/>
      <x:c r="J121" s="36"/>
      <x:c r="K121" s="36"/>
      <x:c r="L121" s="44"/>
      <x:c r="M121" s="36" t="str">
        <x:v>MYR</x:v>
      </x:c>
      <x:c r="N121" s="36"/>
      <x:c r="O121" s="36"/>
      <x:c r="P121" s="40"/>
      <x:c r="Q121" s="36" t="str">
        <x:f>IF(P121="","",P121-TODAY())</x:f>
      </x:c>
      <x:c r="R121" s="36" t="str">
        <x:f>IF(E121="","",IF(X121="DUPLICATE","STOP — DUPLICATE",IF(OR(N121="Completed",N121="Cancelled",N121="Rejected",N121="Superseded"),"Closed",IF(P121="","No due date",IF(Q121&lt;0,"OVERDUE",IF(Q121&lt;=7,"DUE SOON","Open"))))))</x:f>
      </x:c>
      <x:c r="S121" s="36"/>
      <x:c r="T121" s="36"/>
      <x:c r="U121" s="36"/>
      <x:c r="V121" s="42"/>
      <x:c r="W121" s="36"/>
      <x:c r="X121" s="36" t="str">
        <x:f>IF(E121="","",IF(COUNTIF($E$7:$E$506,E121)&gt;1,"DUPLICATE","OK"))</x:f>
      </x:c>
    </x:row>
    <x:row r="122">
      <x:c r="A122" s="36" t="str">
        <x:v>NEX</x:v>
      </x:c>
      <x:c r="B122" s="36"/>
      <x:c r="C122" s="38"/>
      <x:c r="D122" s="38"/>
      <x:c r="E122" s="36" t="str">
        <x:f>IF(OR(A122="",B122="",C122="",D122=""),"",A122&amp;"-"&amp;B122&amp;"-"&amp;TEXT(C122,"0000")&amp;"-"&amp;TEXT(D122,"0000"))</x:f>
      </x:c>
      <x:c r="F122" s="36" t="str">
        <x:v>R0</x:v>
      </x:c>
      <x:c r="G122" s="40"/>
      <x:c r="H122" s="40"/>
      <x:c r="I122" s="36"/>
      <x:c r="J122" s="36"/>
      <x:c r="K122" s="36"/>
      <x:c r="L122" s="44"/>
      <x:c r="M122" s="36" t="str">
        <x:v>MYR</x:v>
      </x:c>
      <x:c r="N122" s="36"/>
      <x:c r="O122" s="36"/>
      <x:c r="P122" s="40"/>
      <x:c r="Q122" s="36" t="str">
        <x:f>IF(P122="","",P122-TODAY())</x:f>
      </x:c>
      <x:c r="R122" s="36" t="str">
        <x:f>IF(E122="","",IF(X122="DUPLICATE","STOP — DUPLICATE",IF(OR(N122="Completed",N122="Cancelled",N122="Rejected",N122="Superseded"),"Closed",IF(P122="","No due date",IF(Q122&lt;0,"OVERDUE",IF(Q122&lt;=7,"DUE SOON","Open"))))))</x:f>
      </x:c>
      <x:c r="S122" s="36"/>
      <x:c r="T122" s="36"/>
      <x:c r="U122" s="36"/>
      <x:c r="V122" s="42"/>
      <x:c r="W122" s="36"/>
      <x:c r="X122" s="36" t="str">
        <x:f>IF(E122="","",IF(COUNTIF($E$7:$E$506,E122)&gt;1,"DUPLICATE","OK"))</x:f>
      </x:c>
    </x:row>
    <x:row r="123">
      <x:c r="A123" s="36" t="str">
        <x:v>NEX</x:v>
      </x:c>
      <x:c r="B123" s="36"/>
      <x:c r="C123" s="38"/>
      <x:c r="D123" s="38"/>
      <x:c r="E123" s="36" t="str">
        <x:f>IF(OR(A123="",B123="",C123="",D123=""),"",A123&amp;"-"&amp;B123&amp;"-"&amp;TEXT(C123,"0000")&amp;"-"&amp;TEXT(D123,"0000"))</x:f>
      </x:c>
      <x:c r="F123" s="36" t="str">
        <x:v>R0</x:v>
      </x:c>
      <x:c r="G123" s="40"/>
      <x:c r="H123" s="40"/>
      <x:c r="I123" s="36"/>
      <x:c r="J123" s="36"/>
      <x:c r="K123" s="36"/>
      <x:c r="L123" s="44"/>
      <x:c r="M123" s="36" t="str">
        <x:v>MYR</x:v>
      </x:c>
      <x:c r="N123" s="36"/>
      <x:c r="O123" s="36"/>
      <x:c r="P123" s="40"/>
      <x:c r="Q123" s="36" t="str">
        <x:f>IF(P123="","",P123-TODAY())</x:f>
      </x:c>
      <x:c r="R123" s="36" t="str">
        <x:f>IF(E123="","",IF(X123="DUPLICATE","STOP — DUPLICATE",IF(OR(N123="Completed",N123="Cancelled",N123="Rejected",N123="Superseded"),"Closed",IF(P123="","No due date",IF(Q123&lt;0,"OVERDUE",IF(Q123&lt;=7,"DUE SOON","Open"))))))</x:f>
      </x:c>
      <x:c r="S123" s="36"/>
      <x:c r="T123" s="36"/>
      <x:c r="U123" s="36"/>
      <x:c r="V123" s="42"/>
      <x:c r="W123" s="36"/>
      <x:c r="X123" s="36" t="str">
        <x:f>IF(E123="","",IF(COUNTIF($E$7:$E$506,E123)&gt;1,"DUPLICATE","OK"))</x:f>
      </x:c>
    </x:row>
    <x:row r="124">
      <x:c r="A124" s="36" t="str">
        <x:v>NEX</x:v>
      </x:c>
      <x:c r="B124" s="36"/>
      <x:c r="C124" s="38"/>
      <x:c r="D124" s="38"/>
      <x:c r="E124" s="36" t="str">
        <x:f>IF(OR(A124="",B124="",C124="",D124=""),"",A124&amp;"-"&amp;B124&amp;"-"&amp;TEXT(C124,"0000")&amp;"-"&amp;TEXT(D124,"0000"))</x:f>
      </x:c>
      <x:c r="F124" s="36" t="str">
        <x:v>R0</x:v>
      </x:c>
      <x:c r="G124" s="40"/>
      <x:c r="H124" s="40"/>
      <x:c r="I124" s="36"/>
      <x:c r="J124" s="36"/>
      <x:c r="K124" s="36"/>
      <x:c r="L124" s="44"/>
      <x:c r="M124" s="36" t="str">
        <x:v>MYR</x:v>
      </x:c>
      <x:c r="N124" s="36"/>
      <x:c r="O124" s="36"/>
      <x:c r="P124" s="40"/>
      <x:c r="Q124" s="36" t="str">
        <x:f>IF(P124="","",P124-TODAY())</x:f>
      </x:c>
      <x:c r="R124" s="36" t="str">
        <x:f>IF(E124="","",IF(X124="DUPLICATE","STOP — DUPLICATE",IF(OR(N124="Completed",N124="Cancelled",N124="Rejected",N124="Superseded"),"Closed",IF(P124="","No due date",IF(Q124&lt;0,"OVERDUE",IF(Q124&lt;=7,"DUE SOON","Open"))))))</x:f>
      </x:c>
      <x:c r="S124" s="36"/>
      <x:c r="T124" s="36"/>
      <x:c r="U124" s="36"/>
      <x:c r="V124" s="42"/>
      <x:c r="W124" s="36"/>
      <x:c r="X124" s="36" t="str">
        <x:f>IF(E124="","",IF(COUNTIF($E$7:$E$506,E124)&gt;1,"DUPLICATE","OK"))</x:f>
      </x:c>
    </x:row>
    <x:row r="125">
      <x:c r="A125" s="36" t="str">
        <x:v>NEX</x:v>
      </x:c>
      <x:c r="B125" s="36"/>
      <x:c r="C125" s="38"/>
      <x:c r="D125" s="38"/>
      <x:c r="E125" s="36" t="str">
        <x:f>IF(OR(A125="",B125="",C125="",D125=""),"",A125&amp;"-"&amp;B125&amp;"-"&amp;TEXT(C125,"0000")&amp;"-"&amp;TEXT(D125,"0000"))</x:f>
      </x:c>
      <x:c r="F125" s="36" t="str">
        <x:v>R0</x:v>
      </x:c>
      <x:c r="G125" s="40"/>
      <x:c r="H125" s="40"/>
      <x:c r="I125" s="36"/>
      <x:c r="J125" s="36"/>
      <x:c r="K125" s="36"/>
      <x:c r="L125" s="44"/>
      <x:c r="M125" s="36" t="str">
        <x:v>MYR</x:v>
      </x:c>
      <x:c r="N125" s="36"/>
      <x:c r="O125" s="36"/>
      <x:c r="P125" s="40"/>
      <x:c r="Q125" s="36" t="str">
        <x:f>IF(P125="","",P125-TODAY())</x:f>
      </x:c>
      <x:c r="R125" s="36" t="str">
        <x:f>IF(E125="","",IF(X125="DUPLICATE","STOP — DUPLICATE",IF(OR(N125="Completed",N125="Cancelled",N125="Rejected",N125="Superseded"),"Closed",IF(P125="","No due date",IF(Q125&lt;0,"OVERDUE",IF(Q125&lt;=7,"DUE SOON","Open"))))))</x:f>
      </x:c>
      <x:c r="S125" s="36"/>
      <x:c r="T125" s="36"/>
      <x:c r="U125" s="36"/>
      <x:c r="V125" s="42"/>
      <x:c r="W125" s="36"/>
      <x:c r="X125" s="36" t="str">
        <x:f>IF(E125="","",IF(COUNTIF($E$7:$E$506,E125)&gt;1,"DUPLICATE","OK"))</x:f>
      </x:c>
    </x:row>
    <x:row r="126">
      <x:c r="A126" s="36" t="str">
        <x:v>NEX</x:v>
      </x:c>
      <x:c r="B126" s="36"/>
      <x:c r="C126" s="38"/>
      <x:c r="D126" s="38"/>
      <x:c r="E126" s="36" t="str">
        <x:f>IF(OR(A126="",B126="",C126="",D126=""),"",A126&amp;"-"&amp;B126&amp;"-"&amp;TEXT(C126,"0000")&amp;"-"&amp;TEXT(D126,"0000"))</x:f>
      </x:c>
      <x:c r="F126" s="36" t="str">
        <x:v>R0</x:v>
      </x:c>
      <x:c r="G126" s="40"/>
      <x:c r="H126" s="40"/>
      <x:c r="I126" s="36"/>
      <x:c r="J126" s="36"/>
      <x:c r="K126" s="36"/>
      <x:c r="L126" s="44"/>
      <x:c r="M126" s="36" t="str">
        <x:v>MYR</x:v>
      </x:c>
      <x:c r="N126" s="36"/>
      <x:c r="O126" s="36"/>
      <x:c r="P126" s="40"/>
      <x:c r="Q126" s="36" t="str">
        <x:f>IF(P126="","",P126-TODAY())</x:f>
      </x:c>
      <x:c r="R126" s="36" t="str">
        <x:f>IF(E126="","",IF(X126="DUPLICATE","STOP — DUPLICATE",IF(OR(N126="Completed",N126="Cancelled",N126="Rejected",N126="Superseded"),"Closed",IF(P126="","No due date",IF(Q126&lt;0,"OVERDUE",IF(Q126&lt;=7,"DUE SOON","Open"))))))</x:f>
      </x:c>
      <x:c r="S126" s="36"/>
      <x:c r="T126" s="36"/>
      <x:c r="U126" s="36"/>
      <x:c r="V126" s="42"/>
      <x:c r="W126" s="36"/>
      <x:c r="X126" s="36" t="str">
        <x:f>IF(E126="","",IF(COUNTIF($E$7:$E$506,E126)&gt;1,"DUPLICATE","OK"))</x:f>
      </x:c>
    </x:row>
    <x:row r="127">
      <x:c r="A127" s="36" t="str">
        <x:v>NEX</x:v>
      </x:c>
      <x:c r="B127" s="36"/>
      <x:c r="C127" s="38"/>
      <x:c r="D127" s="38"/>
      <x:c r="E127" s="36" t="str">
        <x:f>IF(OR(A127="",B127="",C127="",D127=""),"",A127&amp;"-"&amp;B127&amp;"-"&amp;TEXT(C127,"0000")&amp;"-"&amp;TEXT(D127,"0000"))</x:f>
      </x:c>
      <x:c r="F127" s="36" t="str">
        <x:v>R0</x:v>
      </x:c>
      <x:c r="G127" s="40"/>
      <x:c r="H127" s="40"/>
      <x:c r="I127" s="36"/>
      <x:c r="J127" s="36"/>
      <x:c r="K127" s="36"/>
      <x:c r="L127" s="44"/>
      <x:c r="M127" s="36" t="str">
        <x:v>MYR</x:v>
      </x:c>
      <x:c r="N127" s="36"/>
      <x:c r="O127" s="36"/>
      <x:c r="P127" s="40"/>
      <x:c r="Q127" s="36" t="str">
        <x:f>IF(P127="","",P127-TODAY())</x:f>
      </x:c>
      <x:c r="R127" s="36" t="str">
        <x:f>IF(E127="","",IF(X127="DUPLICATE","STOP — DUPLICATE",IF(OR(N127="Completed",N127="Cancelled",N127="Rejected",N127="Superseded"),"Closed",IF(P127="","No due date",IF(Q127&lt;0,"OVERDUE",IF(Q127&lt;=7,"DUE SOON","Open"))))))</x:f>
      </x:c>
      <x:c r="S127" s="36"/>
      <x:c r="T127" s="36"/>
      <x:c r="U127" s="36"/>
      <x:c r="V127" s="42"/>
      <x:c r="W127" s="36"/>
      <x:c r="X127" s="36" t="str">
        <x:f>IF(E127="","",IF(COUNTIF($E$7:$E$506,E127)&gt;1,"DUPLICATE","OK"))</x:f>
      </x:c>
    </x:row>
    <x:row r="128">
      <x:c r="A128" s="36" t="str">
        <x:v>NEX</x:v>
      </x:c>
      <x:c r="B128" s="36"/>
      <x:c r="C128" s="38"/>
      <x:c r="D128" s="38"/>
      <x:c r="E128" s="36" t="str">
        <x:f>IF(OR(A128="",B128="",C128="",D128=""),"",A128&amp;"-"&amp;B128&amp;"-"&amp;TEXT(C128,"0000")&amp;"-"&amp;TEXT(D128,"0000"))</x:f>
      </x:c>
      <x:c r="F128" s="36" t="str">
        <x:v>R0</x:v>
      </x:c>
      <x:c r="G128" s="40"/>
      <x:c r="H128" s="40"/>
      <x:c r="I128" s="36"/>
      <x:c r="J128" s="36"/>
      <x:c r="K128" s="36"/>
      <x:c r="L128" s="44"/>
      <x:c r="M128" s="36" t="str">
        <x:v>MYR</x:v>
      </x:c>
      <x:c r="N128" s="36"/>
      <x:c r="O128" s="36"/>
      <x:c r="P128" s="40"/>
      <x:c r="Q128" s="36" t="str">
        <x:f>IF(P128="","",P128-TODAY())</x:f>
      </x:c>
      <x:c r="R128" s="36" t="str">
        <x:f>IF(E128="","",IF(X128="DUPLICATE","STOP — DUPLICATE",IF(OR(N128="Completed",N128="Cancelled",N128="Rejected",N128="Superseded"),"Closed",IF(P128="","No due date",IF(Q128&lt;0,"OVERDUE",IF(Q128&lt;=7,"DUE SOON","Open"))))))</x:f>
      </x:c>
      <x:c r="S128" s="36"/>
      <x:c r="T128" s="36"/>
      <x:c r="U128" s="36"/>
      <x:c r="V128" s="42"/>
      <x:c r="W128" s="36"/>
      <x:c r="X128" s="36" t="str">
        <x:f>IF(E128="","",IF(COUNTIF($E$7:$E$506,E128)&gt;1,"DUPLICATE","OK"))</x:f>
      </x:c>
    </x:row>
    <x:row r="129">
      <x:c r="A129" s="36" t="str">
        <x:v>NEX</x:v>
      </x:c>
      <x:c r="B129" s="36"/>
      <x:c r="C129" s="38"/>
      <x:c r="D129" s="38"/>
      <x:c r="E129" s="36" t="str">
        <x:f>IF(OR(A129="",B129="",C129="",D129=""),"",A129&amp;"-"&amp;B129&amp;"-"&amp;TEXT(C129,"0000")&amp;"-"&amp;TEXT(D129,"0000"))</x:f>
      </x:c>
      <x:c r="F129" s="36" t="str">
        <x:v>R0</x:v>
      </x:c>
      <x:c r="G129" s="40"/>
      <x:c r="H129" s="40"/>
      <x:c r="I129" s="36"/>
      <x:c r="J129" s="36"/>
      <x:c r="K129" s="36"/>
      <x:c r="L129" s="44"/>
      <x:c r="M129" s="36" t="str">
        <x:v>MYR</x:v>
      </x:c>
      <x:c r="N129" s="36"/>
      <x:c r="O129" s="36"/>
      <x:c r="P129" s="40"/>
      <x:c r="Q129" s="36" t="str">
        <x:f>IF(P129="","",P129-TODAY())</x:f>
      </x:c>
      <x:c r="R129" s="36" t="str">
        <x:f>IF(E129="","",IF(X129="DUPLICATE","STOP — DUPLICATE",IF(OR(N129="Completed",N129="Cancelled",N129="Rejected",N129="Superseded"),"Closed",IF(P129="","No due date",IF(Q129&lt;0,"OVERDUE",IF(Q129&lt;=7,"DUE SOON","Open"))))))</x:f>
      </x:c>
      <x:c r="S129" s="36"/>
      <x:c r="T129" s="36"/>
      <x:c r="U129" s="36"/>
      <x:c r="V129" s="42"/>
      <x:c r="W129" s="36"/>
      <x:c r="X129" s="36" t="str">
        <x:f>IF(E129="","",IF(COUNTIF($E$7:$E$506,E129)&gt;1,"DUPLICATE","OK"))</x:f>
      </x:c>
    </x:row>
    <x:row r="130">
      <x:c r="A130" s="36" t="str">
        <x:v>NEX</x:v>
      </x:c>
      <x:c r="B130" s="36"/>
      <x:c r="C130" s="38"/>
      <x:c r="D130" s="38"/>
      <x:c r="E130" s="36" t="str">
        <x:f>IF(OR(A130="",B130="",C130="",D130=""),"",A130&amp;"-"&amp;B130&amp;"-"&amp;TEXT(C130,"0000")&amp;"-"&amp;TEXT(D130,"0000"))</x:f>
      </x:c>
      <x:c r="F130" s="36" t="str">
        <x:v>R0</x:v>
      </x:c>
      <x:c r="G130" s="40"/>
      <x:c r="H130" s="40"/>
      <x:c r="I130" s="36"/>
      <x:c r="J130" s="36"/>
      <x:c r="K130" s="36"/>
      <x:c r="L130" s="44"/>
      <x:c r="M130" s="36" t="str">
        <x:v>MYR</x:v>
      </x:c>
      <x:c r="N130" s="36"/>
      <x:c r="O130" s="36"/>
      <x:c r="P130" s="40"/>
      <x:c r="Q130" s="36" t="str">
        <x:f>IF(P130="","",P130-TODAY())</x:f>
      </x:c>
      <x:c r="R130" s="36" t="str">
        <x:f>IF(E130="","",IF(X130="DUPLICATE","STOP — DUPLICATE",IF(OR(N130="Completed",N130="Cancelled",N130="Rejected",N130="Superseded"),"Closed",IF(P130="","No due date",IF(Q130&lt;0,"OVERDUE",IF(Q130&lt;=7,"DUE SOON","Open"))))))</x:f>
      </x:c>
      <x:c r="S130" s="36"/>
      <x:c r="T130" s="36"/>
      <x:c r="U130" s="36"/>
      <x:c r="V130" s="42"/>
      <x:c r="W130" s="36"/>
      <x:c r="X130" s="36" t="str">
        <x:f>IF(E130="","",IF(COUNTIF($E$7:$E$506,E130)&gt;1,"DUPLICATE","OK"))</x:f>
      </x:c>
    </x:row>
    <x:row r="131">
      <x:c r="A131" s="36" t="str">
        <x:v>NEX</x:v>
      </x:c>
      <x:c r="B131" s="36"/>
      <x:c r="C131" s="38"/>
      <x:c r="D131" s="38"/>
      <x:c r="E131" s="36" t="str">
        <x:f>IF(OR(A131="",B131="",C131="",D131=""),"",A131&amp;"-"&amp;B131&amp;"-"&amp;TEXT(C131,"0000")&amp;"-"&amp;TEXT(D131,"0000"))</x:f>
      </x:c>
      <x:c r="F131" s="36" t="str">
        <x:v>R0</x:v>
      </x:c>
      <x:c r="G131" s="40"/>
      <x:c r="H131" s="40"/>
      <x:c r="I131" s="36"/>
      <x:c r="J131" s="36"/>
      <x:c r="K131" s="36"/>
      <x:c r="L131" s="44"/>
      <x:c r="M131" s="36" t="str">
        <x:v>MYR</x:v>
      </x:c>
      <x:c r="N131" s="36"/>
      <x:c r="O131" s="36"/>
      <x:c r="P131" s="40"/>
      <x:c r="Q131" s="36" t="str">
        <x:f>IF(P131="","",P131-TODAY())</x:f>
      </x:c>
      <x:c r="R131" s="36" t="str">
        <x:f>IF(E131="","",IF(X131="DUPLICATE","STOP — DUPLICATE",IF(OR(N131="Completed",N131="Cancelled",N131="Rejected",N131="Superseded"),"Closed",IF(P131="","No due date",IF(Q131&lt;0,"OVERDUE",IF(Q131&lt;=7,"DUE SOON","Open"))))))</x:f>
      </x:c>
      <x:c r="S131" s="36"/>
      <x:c r="T131" s="36"/>
      <x:c r="U131" s="36"/>
      <x:c r="V131" s="42"/>
      <x:c r="W131" s="36"/>
      <x:c r="X131" s="36" t="str">
        <x:f>IF(E131="","",IF(COUNTIF($E$7:$E$506,E131)&gt;1,"DUPLICATE","OK"))</x:f>
      </x:c>
    </x:row>
    <x:row r="132">
      <x:c r="A132" s="36" t="str">
        <x:v>NEX</x:v>
      </x:c>
      <x:c r="B132" s="36"/>
      <x:c r="C132" s="38"/>
      <x:c r="D132" s="38"/>
      <x:c r="E132" s="36" t="str">
        <x:f>IF(OR(A132="",B132="",C132="",D132=""),"",A132&amp;"-"&amp;B132&amp;"-"&amp;TEXT(C132,"0000")&amp;"-"&amp;TEXT(D132,"0000"))</x:f>
      </x:c>
      <x:c r="F132" s="36" t="str">
        <x:v>R0</x:v>
      </x:c>
      <x:c r="G132" s="40"/>
      <x:c r="H132" s="40"/>
      <x:c r="I132" s="36"/>
      <x:c r="J132" s="36"/>
      <x:c r="K132" s="36"/>
      <x:c r="L132" s="44"/>
      <x:c r="M132" s="36" t="str">
        <x:v>MYR</x:v>
      </x:c>
      <x:c r="N132" s="36"/>
      <x:c r="O132" s="36"/>
      <x:c r="P132" s="40"/>
      <x:c r="Q132" s="36" t="str">
        <x:f>IF(P132="","",P132-TODAY())</x:f>
      </x:c>
      <x:c r="R132" s="36" t="str">
        <x:f>IF(E132="","",IF(X132="DUPLICATE","STOP — DUPLICATE",IF(OR(N132="Completed",N132="Cancelled",N132="Rejected",N132="Superseded"),"Closed",IF(P132="","No due date",IF(Q132&lt;0,"OVERDUE",IF(Q132&lt;=7,"DUE SOON","Open"))))))</x:f>
      </x:c>
      <x:c r="S132" s="36"/>
      <x:c r="T132" s="36"/>
      <x:c r="U132" s="36"/>
      <x:c r="V132" s="42"/>
      <x:c r="W132" s="36"/>
      <x:c r="X132" s="36" t="str">
        <x:f>IF(E132="","",IF(COUNTIF($E$7:$E$506,E132)&gt;1,"DUPLICATE","OK"))</x:f>
      </x:c>
    </x:row>
    <x:row r="133">
      <x:c r="A133" s="36" t="str">
        <x:v>NEX</x:v>
      </x:c>
      <x:c r="B133" s="36"/>
      <x:c r="C133" s="38"/>
      <x:c r="D133" s="38"/>
      <x:c r="E133" s="36" t="str">
        <x:f>IF(OR(A133="",B133="",C133="",D133=""),"",A133&amp;"-"&amp;B133&amp;"-"&amp;TEXT(C133,"0000")&amp;"-"&amp;TEXT(D133,"0000"))</x:f>
      </x:c>
      <x:c r="F133" s="36" t="str">
        <x:v>R0</x:v>
      </x:c>
      <x:c r="G133" s="40"/>
      <x:c r="H133" s="40"/>
      <x:c r="I133" s="36"/>
      <x:c r="J133" s="36"/>
      <x:c r="K133" s="36"/>
      <x:c r="L133" s="44"/>
      <x:c r="M133" s="36" t="str">
        <x:v>MYR</x:v>
      </x:c>
      <x:c r="N133" s="36"/>
      <x:c r="O133" s="36"/>
      <x:c r="P133" s="40"/>
      <x:c r="Q133" s="36" t="str">
        <x:f>IF(P133="","",P133-TODAY())</x:f>
      </x:c>
      <x:c r="R133" s="36" t="str">
        <x:f>IF(E133="","",IF(X133="DUPLICATE","STOP — DUPLICATE",IF(OR(N133="Completed",N133="Cancelled",N133="Rejected",N133="Superseded"),"Closed",IF(P133="","No due date",IF(Q133&lt;0,"OVERDUE",IF(Q133&lt;=7,"DUE SOON","Open"))))))</x:f>
      </x:c>
      <x:c r="S133" s="36"/>
      <x:c r="T133" s="36"/>
      <x:c r="U133" s="36"/>
      <x:c r="V133" s="42"/>
      <x:c r="W133" s="36"/>
      <x:c r="X133" s="36" t="str">
        <x:f>IF(E133="","",IF(COUNTIF($E$7:$E$506,E133)&gt;1,"DUPLICATE","OK"))</x:f>
      </x:c>
    </x:row>
    <x:row r="134">
      <x:c r="A134" s="36" t="str">
        <x:v>NEX</x:v>
      </x:c>
      <x:c r="B134" s="36"/>
      <x:c r="C134" s="38"/>
      <x:c r="D134" s="38"/>
      <x:c r="E134" s="36" t="str">
        <x:f>IF(OR(A134="",B134="",C134="",D134=""),"",A134&amp;"-"&amp;B134&amp;"-"&amp;TEXT(C134,"0000")&amp;"-"&amp;TEXT(D134,"0000"))</x:f>
      </x:c>
      <x:c r="F134" s="36" t="str">
        <x:v>R0</x:v>
      </x:c>
      <x:c r="G134" s="40"/>
      <x:c r="H134" s="40"/>
      <x:c r="I134" s="36"/>
      <x:c r="J134" s="36"/>
      <x:c r="K134" s="36"/>
      <x:c r="L134" s="44"/>
      <x:c r="M134" s="36" t="str">
        <x:v>MYR</x:v>
      </x:c>
      <x:c r="N134" s="36"/>
      <x:c r="O134" s="36"/>
      <x:c r="P134" s="40"/>
      <x:c r="Q134" s="36" t="str">
        <x:f>IF(P134="","",P134-TODAY())</x:f>
      </x:c>
      <x:c r="R134" s="36" t="str">
        <x:f>IF(E134="","",IF(X134="DUPLICATE","STOP — DUPLICATE",IF(OR(N134="Completed",N134="Cancelled",N134="Rejected",N134="Superseded"),"Closed",IF(P134="","No due date",IF(Q134&lt;0,"OVERDUE",IF(Q134&lt;=7,"DUE SOON","Open"))))))</x:f>
      </x:c>
      <x:c r="S134" s="36"/>
      <x:c r="T134" s="36"/>
      <x:c r="U134" s="36"/>
      <x:c r="V134" s="42"/>
      <x:c r="W134" s="36"/>
      <x:c r="X134" s="36" t="str">
        <x:f>IF(E134="","",IF(COUNTIF($E$7:$E$506,E134)&gt;1,"DUPLICATE","OK"))</x:f>
      </x:c>
    </x:row>
    <x:row r="135">
      <x:c r="A135" s="36" t="str">
        <x:v>NEX</x:v>
      </x:c>
      <x:c r="B135" s="36"/>
      <x:c r="C135" s="38"/>
      <x:c r="D135" s="38"/>
      <x:c r="E135" s="36" t="str">
        <x:f>IF(OR(A135="",B135="",C135="",D135=""),"",A135&amp;"-"&amp;B135&amp;"-"&amp;TEXT(C135,"0000")&amp;"-"&amp;TEXT(D135,"0000"))</x:f>
      </x:c>
      <x:c r="F135" s="36" t="str">
        <x:v>R0</x:v>
      </x:c>
      <x:c r="G135" s="40"/>
      <x:c r="H135" s="40"/>
      <x:c r="I135" s="36"/>
      <x:c r="J135" s="36"/>
      <x:c r="K135" s="36"/>
      <x:c r="L135" s="44"/>
      <x:c r="M135" s="36" t="str">
        <x:v>MYR</x:v>
      </x:c>
      <x:c r="N135" s="36"/>
      <x:c r="O135" s="36"/>
      <x:c r="P135" s="40"/>
      <x:c r="Q135" s="36" t="str">
        <x:f>IF(P135="","",P135-TODAY())</x:f>
      </x:c>
      <x:c r="R135" s="36" t="str">
        <x:f>IF(E135="","",IF(X135="DUPLICATE","STOP — DUPLICATE",IF(OR(N135="Completed",N135="Cancelled",N135="Rejected",N135="Superseded"),"Closed",IF(P135="","No due date",IF(Q135&lt;0,"OVERDUE",IF(Q135&lt;=7,"DUE SOON","Open"))))))</x:f>
      </x:c>
      <x:c r="S135" s="36"/>
      <x:c r="T135" s="36"/>
      <x:c r="U135" s="36"/>
      <x:c r="V135" s="42"/>
      <x:c r="W135" s="36"/>
      <x:c r="X135" s="36" t="str">
        <x:f>IF(E135="","",IF(COUNTIF($E$7:$E$506,E135)&gt;1,"DUPLICATE","OK"))</x:f>
      </x:c>
    </x:row>
    <x:row r="136">
      <x:c r="A136" s="36" t="str">
        <x:v>NEX</x:v>
      </x:c>
      <x:c r="B136" s="36"/>
      <x:c r="C136" s="38"/>
      <x:c r="D136" s="38"/>
      <x:c r="E136" s="36" t="str">
        <x:f>IF(OR(A136="",B136="",C136="",D136=""),"",A136&amp;"-"&amp;B136&amp;"-"&amp;TEXT(C136,"0000")&amp;"-"&amp;TEXT(D136,"0000"))</x:f>
      </x:c>
      <x:c r="F136" s="36" t="str">
        <x:v>R0</x:v>
      </x:c>
      <x:c r="G136" s="40"/>
      <x:c r="H136" s="40"/>
      <x:c r="I136" s="36"/>
      <x:c r="J136" s="36"/>
      <x:c r="K136" s="36"/>
      <x:c r="L136" s="44"/>
      <x:c r="M136" s="36" t="str">
        <x:v>MYR</x:v>
      </x:c>
      <x:c r="N136" s="36"/>
      <x:c r="O136" s="36"/>
      <x:c r="P136" s="40"/>
      <x:c r="Q136" s="36" t="str">
        <x:f>IF(P136="","",P136-TODAY())</x:f>
      </x:c>
      <x:c r="R136" s="36" t="str">
        <x:f>IF(E136="","",IF(X136="DUPLICATE","STOP — DUPLICATE",IF(OR(N136="Completed",N136="Cancelled",N136="Rejected",N136="Superseded"),"Closed",IF(P136="","No due date",IF(Q136&lt;0,"OVERDUE",IF(Q136&lt;=7,"DUE SOON","Open"))))))</x:f>
      </x:c>
      <x:c r="S136" s="36"/>
      <x:c r="T136" s="36"/>
      <x:c r="U136" s="36"/>
      <x:c r="V136" s="42"/>
      <x:c r="W136" s="36"/>
      <x:c r="X136" s="36" t="str">
        <x:f>IF(E136="","",IF(COUNTIF($E$7:$E$506,E136)&gt;1,"DUPLICATE","OK"))</x:f>
      </x:c>
    </x:row>
    <x:row r="137">
      <x:c r="A137" s="36" t="str">
        <x:v>NEX</x:v>
      </x:c>
      <x:c r="B137" s="36"/>
      <x:c r="C137" s="38"/>
      <x:c r="D137" s="38"/>
      <x:c r="E137" s="36" t="str">
        <x:f>IF(OR(A137="",B137="",C137="",D137=""),"",A137&amp;"-"&amp;B137&amp;"-"&amp;TEXT(C137,"0000")&amp;"-"&amp;TEXT(D137,"0000"))</x:f>
      </x:c>
      <x:c r="F137" s="36" t="str">
        <x:v>R0</x:v>
      </x:c>
      <x:c r="G137" s="40"/>
      <x:c r="H137" s="40"/>
      <x:c r="I137" s="36"/>
      <x:c r="J137" s="36"/>
      <x:c r="K137" s="36"/>
      <x:c r="L137" s="44"/>
      <x:c r="M137" s="36" t="str">
        <x:v>MYR</x:v>
      </x:c>
      <x:c r="N137" s="36"/>
      <x:c r="O137" s="36"/>
      <x:c r="P137" s="40"/>
      <x:c r="Q137" s="36" t="str">
        <x:f>IF(P137="","",P137-TODAY())</x:f>
      </x:c>
      <x:c r="R137" s="36" t="str">
        <x:f>IF(E137="","",IF(X137="DUPLICATE","STOP — DUPLICATE",IF(OR(N137="Completed",N137="Cancelled",N137="Rejected",N137="Superseded"),"Closed",IF(P137="","No due date",IF(Q137&lt;0,"OVERDUE",IF(Q137&lt;=7,"DUE SOON","Open"))))))</x:f>
      </x:c>
      <x:c r="S137" s="36"/>
      <x:c r="T137" s="36"/>
      <x:c r="U137" s="36"/>
      <x:c r="V137" s="42"/>
      <x:c r="W137" s="36"/>
      <x:c r="X137" s="36" t="str">
        <x:f>IF(E137="","",IF(COUNTIF($E$7:$E$506,E137)&gt;1,"DUPLICATE","OK"))</x:f>
      </x:c>
    </x:row>
    <x:row r="138">
      <x:c r="A138" s="36" t="str">
        <x:v>NEX</x:v>
      </x:c>
      <x:c r="B138" s="36"/>
      <x:c r="C138" s="38"/>
      <x:c r="D138" s="38"/>
      <x:c r="E138" s="36" t="str">
        <x:f>IF(OR(A138="",B138="",C138="",D138=""),"",A138&amp;"-"&amp;B138&amp;"-"&amp;TEXT(C138,"0000")&amp;"-"&amp;TEXT(D138,"0000"))</x:f>
      </x:c>
      <x:c r="F138" s="36" t="str">
        <x:v>R0</x:v>
      </x:c>
      <x:c r="G138" s="40"/>
      <x:c r="H138" s="40"/>
      <x:c r="I138" s="36"/>
      <x:c r="J138" s="36"/>
      <x:c r="K138" s="36"/>
      <x:c r="L138" s="44"/>
      <x:c r="M138" s="36" t="str">
        <x:v>MYR</x:v>
      </x:c>
      <x:c r="N138" s="36"/>
      <x:c r="O138" s="36"/>
      <x:c r="P138" s="40"/>
      <x:c r="Q138" s="36" t="str">
        <x:f>IF(P138="","",P138-TODAY())</x:f>
      </x:c>
      <x:c r="R138" s="36" t="str">
        <x:f>IF(E138="","",IF(X138="DUPLICATE","STOP — DUPLICATE",IF(OR(N138="Completed",N138="Cancelled",N138="Rejected",N138="Superseded"),"Closed",IF(P138="","No due date",IF(Q138&lt;0,"OVERDUE",IF(Q138&lt;=7,"DUE SOON","Open"))))))</x:f>
      </x:c>
      <x:c r="S138" s="36"/>
      <x:c r="T138" s="36"/>
      <x:c r="U138" s="36"/>
      <x:c r="V138" s="42"/>
      <x:c r="W138" s="36"/>
      <x:c r="X138" s="36" t="str">
        <x:f>IF(E138="","",IF(COUNTIF($E$7:$E$506,E138)&gt;1,"DUPLICATE","OK"))</x:f>
      </x:c>
    </x:row>
    <x:row r="139">
      <x:c r="A139" s="36" t="str">
        <x:v>NEX</x:v>
      </x:c>
      <x:c r="B139" s="36"/>
      <x:c r="C139" s="38"/>
      <x:c r="D139" s="38"/>
      <x:c r="E139" s="36" t="str">
        <x:f>IF(OR(A139="",B139="",C139="",D139=""),"",A139&amp;"-"&amp;B139&amp;"-"&amp;TEXT(C139,"0000")&amp;"-"&amp;TEXT(D139,"0000"))</x:f>
      </x:c>
      <x:c r="F139" s="36" t="str">
        <x:v>R0</x:v>
      </x:c>
      <x:c r="G139" s="40"/>
      <x:c r="H139" s="40"/>
      <x:c r="I139" s="36"/>
      <x:c r="J139" s="36"/>
      <x:c r="K139" s="36"/>
      <x:c r="L139" s="44"/>
      <x:c r="M139" s="36" t="str">
        <x:v>MYR</x:v>
      </x:c>
      <x:c r="N139" s="36"/>
      <x:c r="O139" s="36"/>
      <x:c r="P139" s="40"/>
      <x:c r="Q139" s="36" t="str">
        <x:f>IF(P139="","",P139-TODAY())</x:f>
      </x:c>
      <x:c r="R139" s="36" t="str">
        <x:f>IF(E139="","",IF(X139="DUPLICATE","STOP — DUPLICATE",IF(OR(N139="Completed",N139="Cancelled",N139="Rejected",N139="Superseded"),"Closed",IF(P139="","No due date",IF(Q139&lt;0,"OVERDUE",IF(Q139&lt;=7,"DUE SOON","Open"))))))</x:f>
      </x:c>
      <x:c r="S139" s="36"/>
      <x:c r="T139" s="36"/>
      <x:c r="U139" s="36"/>
      <x:c r="V139" s="42"/>
      <x:c r="W139" s="36"/>
      <x:c r="X139" s="36" t="str">
        <x:f>IF(E139="","",IF(COUNTIF($E$7:$E$506,E139)&gt;1,"DUPLICATE","OK"))</x:f>
      </x:c>
    </x:row>
    <x:row r="140">
      <x:c r="A140" s="36" t="str">
        <x:v>NEX</x:v>
      </x:c>
      <x:c r="B140" s="36"/>
      <x:c r="C140" s="38"/>
      <x:c r="D140" s="38"/>
      <x:c r="E140" s="36" t="str">
        <x:f>IF(OR(A140="",B140="",C140="",D140=""),"",A140&amp;"-"&amp;B140&amp;"-"&amp;TEXT(C140,"0000")&amp;"-"&amp;TEXT(D140,"0000"))</x:f>
      </x:c>
      <x:c r="F140" s="36" t="str">
        <x:v>R0</x:v>
      </x:c>
      <x:c r="G140" s="40"/>
      <x:c r="H140" s="40"/>
      <x:c r="I140" s="36"/>
      <x:c r="J140" s="36"/>
      <x:c r="K140" s="36"/>
      <x:c r="L140" s="44"/>
      <x:c r="M140" s="36" t="str">
        <x:v>MYR</x:v>
      </x:c>
      <x:c r="N140" s="36"/>
      <x:c r="O140" s="36"/>
      <x:c r="P140" s="40"/>
      <x:c r="Q140" s="36" t="str">
        <x:f>IF(P140="","",P140-TODAY())</x:f>
      </x:c>
      <x:c r="R140" s="36" t="str">
        <x:f>IF(E140="","",IF(X140="DUPLICATE","STOP — DUPLICATE",IF(OR(N140="Completed",N140="Cancelled",N140="Rejected",N140="Superseded"),"Closed",IF(P140="","No due date",IF(Q140&lt;0,"OVERDUE",IF(Q140&lt;=7,"DUE SOON","Open"))))))</x:f>
      </x:c>
      <x:c r="S140" s="36"/>
      <x:c r="T140" s="36"/>
      <x:c r="U140" s="36"/>
      <x:c r="V140" s="42"/>
      <x:c r="W140" s="36"/>
      <x:c r="X140" s="36" t="str">
        <x:f>IF(E140="","",IF(COUNTIF($E$7:$E$506,E140)&gt;1,"DUPLICATE","OK"))</x:f>
      </x:c>
    </x:row>
    <x:row r="141">
      <x:c r="A141" s="36" t="str">
        <x:v>NEX</x:v>
      </x:c>
      <x:c r="B141" s="36"/>
      <x:c r="C141" s="38"/>
      <x:c r="D141" s="38"/>
      <x:c r="E141" s="36" t="str">
        <x:f>IF(OR(A141="",B141="",C141="",D141=""),"",A141&amp;"-"&amp;B141&amp;"-"&amp;TEXT(C141,"0000")&amp;"-"&amp;TEXT(D141,"0000"))</x:f>
      </x:c>
      <x:c r="F141" s="36" t="str">
        <x:v>R0</x:v>
      </x:c>
      <x:c r="G141" s="40"/>
      <x:c r="H141" s="40"/>
      <x:c r="I141" s="36"/>
      <x:c r="J141" s="36"/>
      <x:c r="K141" s="36"/>
      <x:c r="L141" s="44"/>
      <x:c r="M141" s="36" t="str">
        <x:v>MYR</x:v>
      </x:c>
      <x:c r="N141" s="36"/>
      <x:c r="O141" s="36"/>
      <x:c r="P141" s="40"/>
      <x:c r="Q141" s="36" t="str">
        <x:f>IF(P141="","",P141-TODAY())</x:f>
      </x:c>
      <x:c r="R141" s="36" t="str">
        <x:f>IF(E141="","",IF(X141="DUPLICATE","STOP — DUPLICATE",IF(OR(N141="Completed",N141="Cancelled",N141="Rejected",N141="Superseded"),"Closed",IF(P141="","No due date",IF(Q141&lt;0,"OVERDUE",IF(Q141&lt;=7,"DUE SOON","Open"))))))</x:f>
      </x:c>
      <x:c r="S141" s="36"/>
      <x:c r="T141" s="36"/>
      <x:c r="U141" s="36"/>
      <x:c r="V141" s="42"/>
      <x:c r="W141" s="36"/>
      <x:c r="X141" s="36" t="str">
        <x:f>IF(E141="","",IF(COUNTIF($E$7:$E$506,E141)&gt;1,"DUPLICATE","OK"))</x:f>
      </x:c>
    </x:row>
    <x:row r="142">
      <x:c r="A142" s="36" t="str">
        <x:v>NEX</x:v>
      </x:c>
      <x:c r="B142" s="36"/>
      <x:c r="C142" s="38"/>
      <x:c r="D142" s="38"/>
      <x:c r="E142" s="36" t="str">
        <x:f>IF(OR(A142="",B142="",C142="",D142=""),"",A142&amp;"-"&amp;B142&amp;"-"&amp;TEXT(C142,"0000")&amp;"-"&amp;TEXT(D142,"0000"))</x:f>
      </x:c>
      <x:c r="F142" s="36" t="str">
        <x:v>R0</x:v>
      </x:c>
      <x:c r="G142" s="40"/>
      <x:c r="H142" s="40"/>
      <x:c r="I142" s="36"/>
      <x:c r="J142" s="36"/>
      <x:c r="K142" s="36"/>
      <x:c r="L142" s="44"/>
      <x:c r="M142" s="36" t="str">
        <x:v>MYR</x:v>
      </x:c>
      <x:c r="N142" s="36"/>
      <x:c r="O142" s="36"/>
      <x:c r="P142" s="40"/>
      <x:c r="Q142" s="36" t="str">
        <x:f>IF(P142="","",P142-TODAY())</x:f>
      </x:c>
      <x:c r="R142" s="36" t="str">
        <x:f>IF(E142="","",IF(X142="DUPLICATE","STOP — DUPLICATE",IF(OR(N142="Completed",N142="Cancelled",N142="Rejected",N142="Superseded"),"Closed",IF(P142="","No due date",IF(Q142&lt;0,"OVERDUE",IF(Q142&lt;=7,"DUE SOON","Open"))))))</x:f>
      </x:c>
      <x:c r="S142" s="36"/>
      <x:c r="T142" s="36"/>
      <x:c r="U142" s="36"/>
      <x:c r="V142" s="42"/>
      <x:c r="W142" s="36"/>
      <x:c r="X142" s="36" t="str">
        <x:f>IF(E142="","",IF(COUNTIF($E$7:$E$506,E142)&gt;1,"DUPLICATE","OK"))</x:f>
      </x:c>
    </x:row>
    <x:row r="143">
      <x:c r="A143" s="36" t="str">
        <x:v>NEX</x:v>
      </x:c>
      <x:c r="B143" s="36"/>
      <x:c r="C143" s="38"/>
      <x:c r="D143" s="38"/>
      <x:c r="E143" s="36" t="str">
        <x:f>IF(OR(A143="",B143="",C143="",D143=""),"",A143&amp;"-"&amp;B143&amp;"-"&amp;TEXT(C143,"0000")&amp;"-"&amp;TEXT(D143,"0000"))</x:f>
      </x:c>
      <x:c r="F143" s="36" t="str">
        <x:v>R0</x:v>
      </x:c>
      <x:c r="G143" s="40"/>
      <x:c r="H143" s="40"/>
      <x:c r="I143" s="36"/>
      <x:c r="J143" s="36"/>
      <x:c r="K143" s="36"/>
      <x:c r="L143" s="44"/>
      <x:c r="M143" s="36" t="str">
        <x:v>MYR</x:v>
      </x:c>
      <x:c r="N143" s="36"/>
      <x:c r="O143" s="36"/>
      <x:c r="P143" s="40"/>
      <x:c r="Q143" s="36" t="str">
        <x:f>IF(P143="","",P143-TODAY())</x:f>
      </x:c>
      <x:c r="R143" s="36" t="str">
        <x:f>IF(E143="","",IF(X143="DUPLICATE","STOP — DUPLICATE",IF(OR(N143="Completed",N143="Cancelled",N143="Rejected",N143="Superseded"),"Closed",IF(P143="","No due date",IF(Q143&lt;0,"OVERDUE",IF(Q143&lt;=7,"DUE SOON","Open"))))))</x:f>
      </x:c>
      <x:c r="S143" s="36"/>
      <x:c r="T143" s="36"/>
      <x:c r="U143" s="36"/>
      <x:c r="V143" s="42"/>
      <x:c r="W143" s="36"/>
      <x:c r="X143" s="36" t="str">
        <x:f>IF(E143="","",IF(COUNTIF($E$7:$E$506,E143)&gt;1,"DUPLICATE","OK"))</x:f>
      </x:c>
    </x:row>
    <x:row r="144">
      <x:c r="A144" s="36" t="str">
        <x:v>NEX</x:v>
      </x:c>
      <x:c r="B144" s="36"/>
      <x:c r="C144" s="38"/>
      <x:c r="D144" s="38"/>
      <x:c r="E144" s="36" t="str">
        <x:f>IF(OR(A144="",B144="",C144="",D144=""),"",A144&amp;"-"&amp;B144&amp;"-"&amp;TEXT(C144,"0000")&amp;"-"&amp;TEXT(D144,"0000"))</x:f>
      </x:c>
      <x:c r="F144" s="36" t="str">
        <x:v>R0</x:v>
      </x:c>
      <x:c r="G144" s="40"/>
      <x:c r="H144" s="40"/>
      <x:c r="I144" s="36"/>
      <x:c r="J144" s="36"/>
      <x:c r="K144" s="36"/>
      <x:c r="L144" s="44"/>
      <x:c r="M144" s="36" t="str">
        <x:v>MYR</x:v>
      </x:c>
      <x:c r="N144" s="36"/>
      <x:c r="O144" s="36"/>
      <x:c r="P144" s="40"/>
      <x:c r="Q144" s="36" t="str">
        <x:f>IF(P144="","",P144-TODAY())</x:f>
      </x:c>
      <x:c r="R144" s="36" t="str">
        <x:f>IF(E144="","",IF(X144="DUPLICATE","STOP — DUPLICATE",IF(OR(N144="Completed",N144="Cancelled",N144="Rejected",N144="Superseded"),"Closed",IF(P144="","No due date",IF(Q144&lt;0,"OVERDUE",IF(Q144&lt;=7,"DUE SOON","Open"))))))</x:f>
      </x:c>
      <x:c r="S144" s="36"/>
      <x:c r="T144" s="36"/>
      <x:c r="U144" s="36"/>
      <x:c r="V144" s="42"/>
      <x:c r="W144" s="36"/>
      <x:c r="X144" s="36" t="str">
        <x:f>IF(E144="","",IF(COUNTIF($E$7:$E$506,E144)&gt;1,"DUPLICATE","OK"))</x:f>
      </x:c>
    </x:row>
    <x:row r="145">
      <x:c r="A145" s="36" t="str">
        <x:v>NEX</x:v>
      </x:c>
      <x:c r="B145" s="36"/>
      <x:c r="C145" s="38"/>
      <x:c r="D145" s="38"/>
      <x:c r="E145" s="36" t="str">
        <x:f>IF(OR(A145="",B145="",C145="",D145=""),"",A145&amp;"-"&amp;B145&amp;"-"&amp;TEXT(C145,"0000")&amp;"-"&amp;TEXT(D145,"0000"))</x:f>
      </x:c>
      <x:c r="F145" s="36" t="str">
        <x:v>R0</x:v>
      </x:c>
      <x:c r="G145" s="40"/>
      <x:c r="H145" s="40"/>
      <x:c r="I145" s="36"/>
      <x:c r="J145" s="36"/>
      <x:c r="K145" s="36"/>
      <x:c r="L145" s="44"/>
      <x:c r="M145" s="36" t="str">
        <x:v>MYR</x:v>
      </x:c>
      <x:c r="N145" s="36"/>
      <x:c r="O145" s="36"/>
      <x:c r="P145" s="40"/>
      <x:c r="Q145" s="36" t="str">
        <x:f>IF(P145="","",P145-TODAY())</x:f>
      </x:c>
      <x:c r="R145" s="36" t="str">
        <x:f>IF(E145="","",IF(X145="DUPLICATE","STOP — DUPLICATE",IF(OR(N145="Completed",N145="Cancelled",N145="Rejected",N145="Superseded"),"Closed",IF(P145="","No due date",IF(Q145&lt;0,"OVERDUE",IF(Q145&lt;=7,"DUE SOON","Open"))))))</x:f>
      </x:c>
      <x:c r="S145" s="36"/>
      <x:c r="T145" s="36"/>
      <x:c r="U145" s="36"/>
      <x:c r="V145" s="42"/>
      <x:c r="W145" s="36"/>
      <x:c r="X145" s="36" t="str">
        <x:f>IF(E145="","",IF(COUNTIF($E$7:$E$506,E145)&gt;1,"DUPLICATE","OK"))</x:f>
      </x:c>
    </x:row>
    <x:row r="146">
      <x:c r="A146" s="36" t="str">
        <x:v>NEX</x:v>
      </x:c>
      <x:c r="B146" s="36"/>
      <x:c r="C146" s="38"/>
      <x:c r="D146" s="38"/>
      <x:c r="E146" s="36" t="str">
        <x:f>IF(OR(A146="",B146="",C146="",D146=""),"",A146&amp;"-"&amp;B146&amp;"-"&amp;TEXT(C146,"0000")&amp;"-"&amp;TEXT(D146,"0000"))</x:f>
      </x:c>
      <x:c r="F146" s="36" t="str">
        <x:v>R0</x:v>
      </x:c>
      <x:c r="G146" s="40"/>
      <x:c r="H146" s="40"/>
      <x:c r="I146" s="36"/>
      <x:c r="J146" s="36"/>
      <x:c r="K146" s="36"/>
      <x:c r="L146" s="44"/>
      <x:c r="M146" s="36" t="str">
        <x:v>MYR</x:v>
      </x:c>
      <x:c r="N146" s="36"/>
      <x:c r="O146" s="36"/>
      <x:c r="P146" s="40"/>
      <x:c r="Q146" s="36" t="str">
        <x:f>IF(P146="","",P146-TODAY())</x:f>
      </x:c>
      <x:c r="R146" s="36" t="str">
        <x:f>IF(E146="","",IF(X146="DUPLICATE","STOP — DUPLICATE",IF(OR(N146="Completed",N146="Cancelled",N146="Rejected",N146="Superseded"),"Closed",IF(P146="","No due date",IF(Q146&lt;0,"OVERDUE",IF(Q146&lt;=7,"DUE SOON","Open"))))))</x:f>
      </x:c>
      <x:c r="S146" s="36"/>
      <x:c r="T146" s="36"/>
      <x:c r="U146" s="36"/>
      <x:c r="V146" s="42"/>
      <x:c r="W146" s="36"/>
      <x:c r="X146" s="36" t="str">
        <x:f>IF(E146="","",IF(COUNTIF($E$7:$E$506,E146)&gt;1,"DUPLICATE","OK"))</x:f>
      </x:c>
    </x:row>
    <x:row r="147">
      <x:c r="A147" s="36" t="str">
        <x:v>NEX</x:v>
      </x:c>
      <x:c r="B147" s="36"/>
      <x:c r="C147" s="38"/>
      <x:c r="D147" s="38"/>
      <x:c r="E147" s="36" t="str">
        <x:f>IF(OR(A147="",B147="",C147="",D147=""),"",A147&amp;"-"&amp;B147&amp;"-"&amp;TEXT(C147,"0000")&amp;"-"&amp;TEXT(D147,"0000"))</x:f>
      </x:c>
      <x:c r="F147" s="36" t="str">
        <x:v>R0</x:v>
      </x:c>
      <x:c r="G147" s="40"/>
      <x:c r="H147" s="40"/>
      <x:c r="I147" s="36"/>
      <x:c r="J147" s="36"/>
      <x:c r="K147" s="36"/>
      <x:c r="L147" s="44"/>
      <x:c r="M147" s="36" t="str">
        <x:v>MYR</x:v>
      </x:c>
      <x:c r="N147" s="36"/>
      <x:c r="O147" s="36"/>
      <x:c r="P147" s="40"/>
      <x:c r="Q147" s="36" t="str">
        <x:f>IF(P147="","",P147-TODAY())</x:f>
      </x:c>
      <x:c r="R147" s="36" t="str">
        <x:f>IF(E147="","",IF(X147="DUPLICATE","STOP — DUPLICATE",IF(OR(N147="Completed",N147="Cancelled",N147="Rejected",N147="Superseded"),"Closed",IF(P147="","No due date",IF(Q147&lt;0,"OVERDUE",IF(Q147&lt;=7,"DUE SOON","Open"))))))</x:f>
      </x:c>
      <x:c r="S147" s="36"/>
      <x:c r="T147" s="36"/>
      <x:c r="U147" s="36"/>
      <x:c r="V147" s="42"/>
      <x:c r="W147" s="36"/>
      <x:c r="X147" s="36" t="str">
        <x:f>IF(E147="","",IF(COUNTIF($E$7:$E$506,E147)&gt;1,"DUPLICATE","OK"))</x:f>
      </x:c>
    </x:row>
    <x:row r="148">
      <x:c r="A148" s="36" t="str">
        <x:v>NEX</x:v>
      </x:c>
      <x:c r="B148" s="36"/>
      <x:c r="C148" s="38"/>
      <x:c r="D148" s="38"/>
      <x:c r="E148" s="36" t="str">
        <x:f>IF(OR(A148="",B148="",C148="",D148=""),"",A148&amp;"-"&amp;B148&amp;"-"&amp;TEXT(C148,"0000")&amp;"-"&amp;TEXT(D148,"0000"))</x:f>
      </x:c>
      <x:c r="F148" s="36" t="str">
        <x:v>R0</x:v>
      </x:c>
      <x:c r="G148" s="40"/>
      <x:c r="H148" s="40"/>
      <x:c r="I148" s="36"/>
      <x:c r="J148" s="36"/>
      <x:c r="K148" s="36"/>
      <x:c r="L148" s="44"/>
      <x:c r="M148" s="36" t="str">
        <x:v>MYR</x:v>
      </x:c>
      <x:c r="N148" s="36"/>
      <x:c r="O148" s="36"/>
      <x:c r="P148" s="40"/>
      <x:c r="Q148" s="36" t="str">
        <x:f>IF(P148="","",P148-TODAY())</x:f>
      </x:c>
      <x:c r="R148" s="36" t="str">
        <x:f>IF(E148="","",IF(X148="DUPLICATE","STOP — DUPLICATE",IF(OR(N148="Completed",N148="Cancelled",N148="Rejected",N148="Superseded"),"Closed",IF(P148="","No due date",IF(Q148&lt;0,"OVERDUE",IF(Q148&lt;=7,"DUE SOON","Open"))))))</x:f>
      </x:c>
      <x:c r="S148" s="36"/>
      <x:c r="T148" s="36"/>
      <x:c r="U148" s="36"/>
      <x:c r="V148" s="42"/>
      <x:c r="W148" s="36"/>
      <x:c r="X148" s="36" t="str">
        <x:f>IF(E148="","",IF(COUNTIF($E$7:$E$506,E148)&gt;1,"DUPLICATE","OK"))</x:f>
      </x:c>
    </x:row>
    <x:row r="149">
      <x:c r="A149" s="36" t="str">
        <x:v>NEX</x:v>
      </x:c>
      <x:c r="B149" s="36"/>
      <x:c r="C149" s="38"/>
      <x:c r="D149" s="38"/>
      <x:c r="E149" s="36" t="str">
        <x:f>IF(OR(A149="",B149="",C149="",D149=""),"",A149&amp;"-"&amp;B149&amp;"-"&amp;TEXT(C149,"0000")&amp;"-"&amp;TEXT(D149,"0000"))</x:f>
      </x:c>
      <x:c r="F149" s="36" t="str">
        <x:v>R0</x:v>
      </x:c>
      <x:c r="G149" s="40"/>
      <x:c r="H149" s="40"/>
      <x:c r="I149" s="36"/>
      <x:c r="J149" s="36"/>
      <x:c r="K149" s="36"/>
      <x:c r="L149" s="44"/>
      <x:c r="M149" s="36" t="str">
        <x:v>MYR</x:v>
      </x:c>
      <x:c r="N149" s="36"/>
      <x:c r="O149" s="36"/>
      <x:c r="P149" s="40"/>
      <x:c r="Q149" s="36" t="str">
        <x:f>IF(P149="","",P149-TODAY())</x:f>
      </x:c>
      <x:c r="R149" s="36" t="str">
        <x:f>IF(E149="","",IF(X149="DUPLICATE","STOP — DUPLICATE",IF(OR(N149="Completed",N149="Cancelled",N149="Rejected",N149="Superseded"),"Closed",IF(P149="","No due date",IF(Q149&lt;0,"OVERDUE",IF(Q149&lt;=7,"DUE SOON","Open"))))))</x:f>
      </x:c>
      <x:c r="S149" s="36"/>
      <x:c r="T149" s="36"/>
      <x:c r="U149" s="36"/>
      <x:c r="V149" s="42"/>
      <x:c r="W149" s="36"/>
      <x:c r="X149" s="36" t="str">
        <x:f>IF(E149="","",IF(COUNTIF($E$7:$E$506,E149)&gt;1,"DUPLICATE","OK"))</x:f>
      </x:c>
    </x:row>
    <x:row r="150">
      <x:c r="A150" s="36" t="str">
        <x:v>NEX</x:v>
      </x:c>
      <x:c r="B150" s="36"/>
      <x:c r="C150" s="38"/>
      <x:c r="D150" s="38"/>
      <x:c r="E150" s="36" t="str">
        <x:f>IF(OR(A150="",B150="",C150="",D150=""),"",A150&amp;"-"&amp;B150&amp;"-"&amp;TEXT(C150,"0000")&amp;"-"&amp;TEXT(D150,"0000"))</x:f>
      </x:c>
      <x:c r="F150" s="36" t="str">
        <x:v>R0</x:v>
      </x:c>
      <x:c r="G150" s="40"/>
      <x:c r="H150" s="40"/>
      <x:c r="I150" s="36"/>
      <x:c r="J150" s="36"/>
      <x:c r="K150" s="36"/>
      <x:c r="L150" s="44"/>
      <x:c r="M150" s="36" t="str">
        <x:v>MYR</x:v>
      </x:c>
      <x:c r="N150" s="36"/>
      <x:c r="O150" s="36"/>
      <x:c r="P150" s="40"/>
      <x:c r="Q150" s="36" t="str">
        <x:f>IF(P150="","",P150-TODAY())</x:f>
      </x:c>
      <x:c r="R150" s="36" t="str">
        <x:f>IF(E150="","",IF(X150="DUPLICATE","STOP — DUPLICATE",IF(OR(N150="Completed",N150="Cancelled",N150="Rejected",N150="Superseded"),"Closed",IF(P150="","No due date",IF(Q150&lt;0,"OVERDUE",IF(Q150&lt;=7,"DUE SOON","Open"))))))</x:f>
      </x:c>
      <x:c r="S150" s="36"/>
      <x:c r="T150" s="36"/>
      <x:c r="U150" s="36"/>
      <x:c r="V150" s="42"/>
      <x:c r="W150" s="36"/>
      <x:c r="X150" s="36" t="str">
        <x:f>IF(E150="","",IF(COUNTIF($E$7:$E$506,E150)&gt;1,"DUPLICATE","OK"))</x:f>
      </x:c>
    </x:row>
    <x:row r="151">
      <x:c r="A151" s="36" t="str">
        <x:v>NEX</x:v>
      </x:c>
      <x:c r="B151" s="36"/>
      <x:c r="C151" s="38"/>
      <x:c r="D151" s="38"/>
      <x:c r="E151" s="36" t="str">
        <x:f>IF(OR(A151="",B151="",C151="",D151=""),"",A151&amp;"-"&amp;B151&amp;"-"&amp;TEXT(C151,"0000")&amp;"-"&amp;TEXT(D151,"0000"))</x:f>
      </x:c>
      <x:c r="F151" s="36" t="str">
        <x:v>R0</x:v>
      </x:c>
      <x:c r="G151" s="40"/>
      <x:c r="H151" s="40"/>
      <x:c r="I151" s="36"/>
      <x:c r="J151" s="36"/>
      <x:c r="K151" s="36"/>
      <x:c r="L151" s="44"/>
      <x:c r="M151" s="36" t="str">
        <x:v>MYR</x:v>
      </x:c>
      <x:c r="N151" s="36"/>
      <x:c r="O151" s="36"/>
      <x:c r="P151" s="40"/>
      <x:c r="Q151" s="36" t="str">
        <x:f>IF(P151="","",P151-TODAY())</x:f>
      </x:c>
      <x:c r="R151" s="36" t="str">
        <x:f>IF(E151="","",IF(X151="DUPLICATE","STOP — DUPLICATE",IF(OR(N151="Completed",N151="Cancelled",N151="Rejected",N151="Superseded"),"Closed",IF(P151="","No due date",IF(Q151&lt;0,"OVERDUE",IF(Q151&lt;=7,"DUE SOON","Open"))))))</x:f>
      </x:c>
      <x:c r="S151" s="36"/>
      <x:c r="T151" s="36"/>
      <x:c r="U151" s="36"/>
      <x:c r="V151" s="42"/>
      <x:c r="W151" s="36"/>
      <x:c r="X151" s="36" t="str">
        <x:f>IF(E151="","",IF(COUNTIF($E$7:$E$506,E151)&gt;1,"DUPLICATE","OK"))</x:f>
      </x:c>
    </x:row>
    <x:row r="152">
      <x:c r="A152" s="36" t="str">
        <x:v>NEX</x:v>
      </x:c>
      <x:c r="B152" s="36"/>
      <x:c r="C152" s="38"/>
      <x:c r="D152" s="38"/>
      <x:c r="E152" s="36" t="str">
        <x:f>IF(OR(A152="",B152="",C152="",D152=""),"",A152&amp;"-"&amp;B152&amp;"-"&amp;TEXT(C152,"0000")&amp;"-"&amp;TEXT(D152,"0000"))</x:f>
      </x:c>
      <x:c r="F152" s="36" t="str">
        <x:v>R0</x:v>
      </x:c>
      <x:c r="G152" s="40"/>
      <x:c r="H152" s="40"/>
      <x:c r="I152" s="36"/>
      <x:c r="J152" s="36"/>
      <x:c r="K152" s="36"/>
      <x:c r="L152" s="44"/>
      <x:c r="M152" s="36" t="str">
        <x:v>MYR</x:v>
      </x:c>
      <x:c r="N152" s="36"/>
      <x:c r="O152" s="36"/>
      <x:c r="P152" s="40"/>
      <x:c r="Q152" s="36" t="str">
        <x:f>IF(P152="","",P152-TODAY())</x:f>
      </x:c>
      <x:c r="R152" s="36" t="str">
        <x:f>IF(E152="","",IF(X152="DUPLICATE","STOP — DUPLICATE",IF(OR(N152="Completed",N152="Cancelled",N152="Rejected",N152="Superseded"),"Closed",IF(P152="","No due date",IF(Q152&lt;0,"OVERDUE",IF(Q152&lt;=7,"DUE SOON","Open"))))))</x:f>
      </x:c>
      <x:c r="S152" s="36"/>
      <x:c r="T152" s="36"/>
      <x:c r="U152" s="36"/>
      <x:c r="V152" s="42"/>
      <x:c r="W152" s="36"/>
      <x:c r="X152" s="36" t="str">
        <x:f>IF(E152="","",IF(COUNTIF($E$7:$E$506,E152)&gt;1,"DUPLICATE","OK"))</x:f>
      </x:c>
    </x:row>
    <x:row r="153">
      <x:c r="A153" s="36" t="str">
        <x:v>NEX</x:v>
      </x:c>
      <x:c r="B153" s="36"/>
      <x:c r="C153" s="38"/>
      <x:c r="D153" s="38"/>
      <x:c r="E153" s="36" t="str">
        <x:f>IF(OR(A153="",B153="",C153="",D153=""),"",A153&amp;"-"&amp;B153&amp;"-"&amp;TEXT(C153,"0000")&amp;"-"&amp;TEXT(D153,"0000"))</x:f>
      </x:c>
      <x:c r="F153" s="36" t="str">
        <x:v>R0</x:v>
      </x:c>
      <x:c r="G153" s="40"/>
      <x:c r="H153" s="40"/>
      <x:c r="I153" s="36"/>
      <x:c r="J153" s="36"/>
      <x:c r="K153" s="36"/>
      <x:c r="L153" s="44"/>
      <x:c r="M153" s="36" t="str">
        <x:v>MYR</x:v>
      </x:c>
      <x:c r="N153" s="36"/>
      <x:c r="O153" s="36"/>
      <x:c r="P153" s="40"/>
      <x:c r="Q153" s="36" t="str">
        <x:f>IF(P153="","",P153-TODAY())</x:f>
      </x:c>
      <x:c r="R153" s="36" t="str">
        <x:f>IF(E153="","",IF(X153="DUPLICATE","STOP — DUPLICATE",IF(OR(N153="Completed",N153="Cancelled",N153="Rejected",N153="Superseded"),"Closed",IF(P153="","No due date",IF(Q153&lt;0,"OVERDUE",IF(Q153&lt;=7,"DUE SOON","Open"))))))</x:f>
      </x:c>
      <x:c r="S153" s="36"/>
      <x:c r="T153" s="36"/>
      <x:c r="U153" s="36"/>
      <x:c r="V153" s="42"/>
      <x:c r="W153" s="36"/>
      <x:c r="X153" s="36" t="str">
        <x:f>IF(E153="","",IF(COUNTIF($E$7:$E$506,E153)&gt;1,"DUPLICATE","OK"))</x:f>
      </x:c>
    </x:row>
    <x:row r="154">
      <x:c r="A154" s="36" t="str">
        <x:v>NEX</x:v>
      </x:c>
      <x:c r="B154" s="36"/>
      <x:c r="C154" s="38"/>
      <x:c r="D154" s="38"/>
      <x:c r="E154" s="36" t="str">
        <x:f>IF(OR(A154="",B154="",C154="",D154=""),"",A154&amp;"-"&amp;B154&amp;"-"&amp;TEXT(C154,"0000")&amp;"-"&amp;TEXT(D154,"0000"))</x:f>
      </x:c>
      <x:c r="F154" s="36" t="str">
        <x:v>R0</x:v>
      </x:c>
      <x:c r="G154" s="40"/>
      <x:c r="H154" s="40"/>
      <x:c r="I154" s="36"/>
      <x:c r="J154" s="36"/>
      <x:c r="K154" s="36"/>
      <x:c r="L154" s="44"/>
      <x:c r="M154" s="36" t="str">
        <x:v>MYR</x:v>
      </x:c>
      <x:c r="N154" s="36"/>
      <x:c r="O154" s="36"/>
      <x:c r="P154" s="40"/>
      <x:c r="Q154" s="36" t="str">
        <x:f>IF(P154="","",P154-TODAY())</x:f>
      </x:c>
      <x:c r="R154" s="36" t="str">
        <x:f>IF(E154="","",IF(X154="DUPLICATE","STOP — DUPLICATE",IF(OR(N154="Completed",N154="Cancelled",N154="Rejected",N154="Superseded"),"Closed",IF(P154="","No due date",IF(Q154&lt;0,"OVERDUE",IF(Q154&lt;=7,"DUE SOON","Open"))))))</x:f>
      </x:c>
      <x:c r="S154" s="36"/>
      <x:c r="T154" s="36"/>
      <x:c r="U154" s="36"/>
      <x:c r="V154" s="42"/>
      <x:c r="W154" s="36"/>
      <x:c r="X154" s="36" t="str">
        <x:f>IF(E154="","",IF(COUNTIF($E$7:$E$506,E154)&gt;1,"DUPLICATE","OK"))</x:f>
      </x:c>
    </x:row>
    <x:row r="155">
      <x:c r="A155" s="36" t="str">
        <x:v>NEX</x:v>
      </x:c>
      <x:c r="B155" s="36"/>
      <x:c r="C155" s="38"/>
      <x:c r="D155" s="38"/>
      <x:c r="E155" s="36" t="str">
        <x:f>IF(OR(A155="",B155="",C155="",D155=""),"",A155&amp;"-"&amp;B155&amp;"-"&amp;TEXT(C155,"0000")&amp;"-"&amp;TEXT(D155,"0000"))</x:f>
      </x:c>
      <x:c r="F155" s="36" t="str">
        <x:v>R0</x:v>
      </x:c>
      <x:c r="G155" s="40"/>
      <x:c r="H155" s="40"/>
      <x:c r="I155" s="36"/>
      <x:c r="J155" s="36"/>
      <x:c r="K155" s="36"/>
      <x:c r="L155" s="44"/>
      <x:c r="M155" s="36" t="str">
        <x:v>MYR</x:v>
      </x:c>
      <x:c r="N155" s="36"/>
      <x:c r="O155" s="36"/>
      <x:c r="P155" s="40"/>
      <x:c r="Q155" s="36" t="str">
        <x:f>IF(P155="","",P155-TODAY())</x:f>
      </x:c>
      <x:c r="R155" s="36" t="str">
        <x:f>IF(E155="","",IF(X155="DUPLICATE","STOP — DUPLICATE",IF(OR(N155="Completed",N155="Cancelled",N155="Rejected",N155="Superseded"),"Closed",IF(P155="","No due date",IF(Q155&lt;0,"OVERDUE",IF(Q155&lt;=7,"DUE SOON","Open"))))))</x:f>
      </x:c>
      <x:c r="S155" s="36"/>
      <x:c r="T155" s="36"/>
      <x:c r="U155" s="36"/>
      <x:c r="V155" s="42"/>
      <x:c r="W155" s="36"/>
      <x:c r="X155" s="36" t="str">
        <x:f>IF(E155="","",IF(COUNTIF($E$7:$E$506,E155)&gt;1,"DUPLICATE","OK"))</x:f>
      </x:c>
    </x:row>
    <x:row r="156">
      <x:c r="A156" s="36" t="str">
        <x:v>NEX</x:v>
      </x:c>
      <x:c r="B156" s="36"/>
      <x:c r="C156" s="38"/>
      <x:c r="D156" s="38"/>
      <x:c r="E156" s="36" t="str">
        <x:f>IF(OR(A156="",B156="",C156="",D156=""),"",A156&amp;"-"&amp;B156&amp;"-"&amp;TEXT(C156,"0000")&amp;"-"&amp;TEXT(D156,"0000"))</x:f>
      </x:c>
      <x:c r="F156" s="36" t="str">
        <x:v>R0</x:v>
      </x:c>
      <x:c r="G156" s="40"/>
      <x:c r="H156" s="40"/>
      <x:c r="I156" s="36"/>
      <x:c r="J156" s="36"/>
      <x:c r="K156" s="36"/>
      <x:c r="L156" s="44"/>
      <x:c r="M156" s="36" t="str">
        <x:v>MYR</x:v>
      </x:c>
      <x:c r="N156" s="36"/>
      <x:c r="O156" s="36"/>
      <x:c r="P156" s="40"/>
      <x:c r="Q156" s="36" t="str">
        <x:f>IF(P156="","",P156-TODAY())</x:f>
      </x:c>
      <x:c r="R156" s="36" t="str">
        <x:f>IF(E156="","",IF(X156="DUPLICATE","STOP — DUPLICATE",IF(OR(N156="Completed",N156="Cancelled",N156="Rejected",N156="Superseded"),"Closed",IF(P156="","No due date",IF(Q156&lt;0,"OVERDUE",IF(Q156&lt;=7,"DUE SOON","Open"))))))</x:f>
      </x:c>
      <x:c r="S156" s="36"/>
      <x:c r="T156" s="36"/>
      <x:c r="U156" s="36"/>
      <x:c r="V156" s="42"/>
      <x:c r="W156" s="36"/>
      <x:c r="X156" s="36" t="str">
        <x:f>IF(E156="","",IF(COUNTIF($E$7:$E$506,E156)&gt;1,"DUPLICATE","OK"))</x:f>
      </x:c>
    </x:row>
    <x:row r="157">
      <x:c r="A157" s="36" t="str">
        <x:v>NEX</x:v>
      </x:c>
      <x:c r="B157" s="36"/>
      <x:c r="C157" s="38"/>
      <x:c r="D157" s="38"/>
      <x:c r="E157" s="36" t="str">
        <x:f>IF(OR(A157="",B157="",C157="",D157=""),"",A157&amp;"-"&amp;B157&amp;"-"&amp;TEXT(C157,"0000")&amp;"-"&amp;TEXT(D157,"0000"))</x:f>
      </x:c>
      <x:c r="F157" s="36" t="str">
        <x:v>R0</x:v>
      </x:c>
      <x:c r="G157" s="40"/>
      <x:c r="H157" s="40"/>
      <x:c r="I157" s="36"/>
      <x:c r="J157" s="36"/>
      <x:c r="K157" s="36"/>
      <x:c r="L157" s="44"/>
      <x:c r="M157" s="36" t="str">
        <x:v>MYR</x:v>
      </x:c>
      <x:c r="N157" s="36"/>
      <x:c r="O157" s="36"/>
      <x:c r="P157" s="40"/>
      <x:c r="Q157" s="36" t="str">
        <x:f>IF(P157="","",P157-TODAY())</x:f>
      </x:c>
      <x:c r="R157" s="36" t="str">
        <x:f>IF(E157="","",IF(X157="DUPLICATE","STOP — DUPLICATE",IF(OR(N157="Completed",N157="Cancelled",N157="Rejected",N157="Superseded"),"Closed",IF(P157="","No due date",IF(Q157&lt;0,"OVERDUE",IF(Q157&lt;=7,"DUE SOON","Open"))))))</x:f>
      </x:c>
      <x:c r="S157" s="36"/>
      <x:c r="T157" s="36"/>
      <x:c r="U157" s="36"/>
      <x:c r="V157" s="42"/>
      <x:c r="W157" s="36"/>
      <x:c r="X157" s="36" t="str">
        <x:f>IF(E157="","",IF(COUNTIF($E$7:$E$506,E157)&gt;1,"DUPLICATE","OK"))</x:f>
      </x:c>
    </x:row>
    <x:row r="158">
      <x:c r="A158" s="36" t="str">
        <x:v>NEX</x:v>
      </x:c>
      <x:c r="B158" s="36"/>
      <x:c r="C158" s="38"/>
      <x:c r="D158" s="38"/>
      <x:c r="E158" s="36" t="str">
        <x:f>IF(OR(A158="",B158="",C158="",D158=""),"",A158&amp;"-"&amp;B158&amp;"-"&amp;TEXT(C158,"0000")&amp;"-"&amp;TEXT(D158,"0000"))</x:f>
      </x:c>
      <x:c r="F158" s="36" t="str">
        <x:v>R0</x:v>
      </x:c>
      <x:c r="G158" s="40"/>
      <x:c r="H158" s="40"/>
      <x:c r="I158" s="36"/>
      <x:c r="J158" s="36"/>
      <x:c r="K158" s="36"/>
      <x:c r="L158" s="44"/>
      <x:c r="M158" s="36" t="str">
        <x:v>MYR</x:v>
      </x:c>
      <x:c r="N158" s="36"/>
      <x:c r="O158" s="36"/>
      <x:c r="P158" s="40"/>
      <x:c r="Q158" s="36" t="str">
        <x:f>IF(P158="","",P158-TODAY())</x:f>
      </x:c>
      <x:c r="R158" s="36" t="str">
        <x:f>IF(E158="","",IF(X158="DUPLICATE","STOP — DUPLICATE",IF(OR(N158="Completed",N158="Cancelled",N158="Rejected",N158="Superseded"),"Closed",IF(P158="","No due date",IF(Q158&lt;0,"OVERDUE",IF(Q158&lt;=7,"DUE SOON","Open"))))))</x:f>
      </x:c>
      <x:c r="S158" s="36"/>
      <x:c r="T158" s="36"/>
      <x:c r="U158" s="36"/>
      <x:c r="V158" s="42"/>
      <x:c r="W158" s="36"/>
      <x:c r="X158" s="36" t="str">
        <x:f>IF(E158="","",IF(COUNTIF($E$7:$E$506,E158)&gt;1,"DUPLICATE","OK"))</x:f>
      </x:c>
    </x:row>
    <x:row r="159">
      <x:c r="A159" s="36" t="str">
        <x:v>NEX</x:v>
      </x:c>
      <x:c r="B159" s="36"/>
      <x:c r="C159" s="38"/>
      <x:c r="D159" s="38"/>
      <x:c r="E159" s="36" t="str">
        <x:f>IF(OR(A159="",B159="",C159="",D159=""),"",A159&amp;"-"&amp;B159&amp;"-"&amp;TEXT(C159,"0000")&amp;"-"&amp;TEXT(D159,"0000"))</x:f>
      </x:c>
      <x:c r="F159" s="36" t="str">
        <x:v>R0</x:v>
      </x:c>
      <x:c r="G159" s="40"/>
      <x:c r="H159" s="40"/>
      <x:c r="I159" s="36"/>
      <x:c r="J159" s="36"/>
      <x:c r="K159" s="36"/>
      <x:c r="L159" s="44"/>
      <x:c r="M159" s="36" t="str">
        <x:v>MYR</x:v>
      </x:c>
      <x:c r="N159" s="36"/>
      <x:c r="O159" s="36"/>
      <x:c r="P159" s="40"/>
      <x:c r="Q159" s="36" t="str">
        <x:f>IF(P159="","",P159-TODAY())</x:f>
      </x:c>
      <x:c r="R159" s="36" t="str">
        <x:f>IF(E159="","",IF(X159="DUPLICATE","STOP — DUPLICATE",IF(OR(N159="Completed",N159="Cancelled",N159="Rejected",N159="Superseded"),"Closed",IF(P159="","No due date",IF(Q159&lt;0,"OVERDUE",IF(Q159&lt;=7,"DUE SOON","Open"))))))</x:f>
      </x:c>
      <x:c r="S159" s="36"/>
      <x:c r="T159" s="36"/>
      <x:c r="U159" s="36"/>
      <x:c r="V159" s="42"/>
      <x:c r="W159" s="36"/>
      <x:c r="X159" s="36" t="str">
        <x:f>IF(E159="","",IF(COUNTIF($E$7:$E$506,E159)&gt;1,"DUPLICATE","OK"))</x:f>
      </x:c>
    </x:row>
    <x:row r="160">
      <x:c r="A160" s="36" t="str">
        <x:v>NEX</x:v>
      </x:c>
      <x:c r="B160" s="36"/>
      <x:c r="C160" s="38"/>
      <x:c r="D160" s="38"/>
      <x:c r="E160" s="36" t="str">
        <x:f>IF(OR(A160="",B160="",C160="",D160=""),"",A160&amp;"-"&amp;B160&amp;"-"&amp;TEXT(C160,"0000")&amp;"-"&amp;TEXT(D160,"0000"))</x:f>
      </x:c>
      <x:c r="F160" s="36" t="str">
        <x:v>R0</x:v>
      </x:c>
      <x:c r="G160" s="40"/>
      <x:c r="H160" s="40"/>
      <x:c r="I160" s="36"/>
      <x:c r="J160" s="36"/>
      <x:c r="K160" s="36"/>
      <x:c r="L160" s="44"/>
      <x:c r="M160" s="36" t="str">
        <x:v>MYR</x:v>
      </x:c>
      <x:c r="N160" s="36"/>
      <x:c r="O160" s="36"/>
      <x:c r="P160" s="40"/>
      <x:c r="Q160" s="36" t="str">
        <x:f>IF(P160="","",P160-TODAY())</x:f>
      </x:c>
      <x:c r="R160" s="36" t="str">
        <x:f>IF(E160="","",IF(X160="DUPLICATE","STOP — DUPLICATE",IF(OR(N160="Completed",N160="Cancelled",N160="Rejected",N160="Superseded"),"Closed",IF(P160="","No due date",IF(Q160&lt;0,"OVERDUE",IF(Q160&lt;=7,"DUE SOON","Open"))))))</x:f>
      </x:c>
      <x:c r="S160" s="36"/>
      <x:c r="T160" s="36"/>
      <x:c r="U160" s="36"/>
      <x:c r="V160" s="42"/>
      <x:c r="W160" s="36"/>
      <x:c r="X160" s="36" t="str">
        <x:f>IF(E160="","",IF(COUNTIF($E$7:$E$506,E160)&gt;1,"DUPLICATE","OK"))</x:f>
      </x:c>
    </x:row>
    <x:row r="161">
      <x:c r="A161" s="36" t="str">
        <x:v>NEX</x:v>
      </x:c>
      <x:c r="B161" s="36"/>
      <x:c r="C161" s="38"/>
      <x:c r="D161" s="38"/>
      <x:c r="E161" s="36" t="str">
        <x:f>IF(OR(A161="",B161="",C161="",D161=""),"",A161&amp;"-"&amp;B161&amp;"-"&amp;TEXT(C161,"0000")&amp;"-"&amp;TEXT(D161,"0000"))</x:f>
      </x:c>
      <x:c r="F161" s="36" t="str">
        <x:v>R0</x:v>
      </x:c>
      <x:c r="G161" s="40"/>
      <x:c r="H161" s="40"/>
      <x:c r="I161" s="36"/>
      <x:c r="J161" s="36"/>
      <x:c r="K161" s="36"/>
      <x:c r="L161" s="44"/>
      <x:c r="M161" s="36" t="str">
        <x:v>MYR</x:v>
      </x:c>
      <x:c r="N161" s="36"/>
      <x:c r="O161" s="36"/>
      <x:c r="P161" s="40"/>
      <x:c r="Q161" s="36" t="str">
        <x:f>IF(P161="","",P161-TODAY())</x:f>
      </x:c>
      <x:c r="R161" s="36" t="str">
        <x:f>IF(E161="","",IF(X161="DUPLICATE","STOP — DUPLICATE",IF(OR(N161="Completed",N161="Cancelled",N161="Rejected",N161="Superseded"),"Closed",IF(P161="","No due date",IF(Q161&lt;0,"OVERDUE",IF(Q161&lt;=7,"DUE SOON","Open"))))))</x:f>
      </x:c>
      <x:c r="S161" s="36"/>
      <x:c r="T161" s="36"/>
      <x:c r="U161" s="36"/>
      <x:c r="V161" s="42"/>
      <x:c r="W161" s="36"/>
      <x:c r="X161" s="36" t="str">
        <x:f>IF(E161="","",IF(COUNTIF($E$7:$E$506,E161)&gt;1,"DUPLICATE","OK"))</x:f>
      </x:c>
    </x:row>
    <x:row r="162">
      <x:c r="A162" s="36" t="str">
        <x:v>NEX</x:v>
      </x:c>
      <x:c r="B162" s="36"/>
      <x:c r="C162" s="38"/>
      <x:c r="D162" s="38"/>
      <x:c r="E162" s="36" t="str">
        <x:f>IF(OR(A162="",B162="",C162="",D162=""),"",A162&amp;"-"&amp;B162&amp;"-"&amp;TEXT(C162,"0000")&amp;"-"&amp;TEXT(D162,"0000"))</x:f>
      </x:c>
      <x:c r="F162" s="36" t="str">
        <x:v>R0</x:v>
      </x:c>
      <x:c r="G162" s="40"/>
      <x:c r="H162" s="40"/>
      <x:c r="I162" s="36"/>
      <x:c r="J162" s="36"/>
      <x:c r="K162" s="36"/>
      <x:c r="L162" s="44"/>
      <x:c r="M162" s="36" t="str">
        <x:v>MYR</x:v>
      </x:c>
      <x:c r="N162" s="36"/>
      <x:c r="O162" s="36"/>
      <x:c r="P162" s="40"/>
      <x:c r="Q162" s="36" t="str">
        <x:f>IF(P162="","",P162-TODAY())</x:f>
      </x:c>
      <x:c r="R162" s="36" t="str">
        <x:f>IF(E162="","",IF(X162="DUPLICATE","STOP — DUPLICATE",IF(OR(N162="Completed",N162="Cancelled",N162="Rejected",N162="Superseded"),"Closed",IF(P162="","No due date",IF(Q162&lt;0,"OVERDUE",IF(Q162&lt;=7,"DUE SOON","Open"))))))</x:f>
      </x:c>
      <x:c r="S162" s="36"/>
      <x:c r="T162" s="36"/>
      <x:c r="U162" s="36"/>
      <x:c r="V162" s="42"/>
      <x:c r="W162" s="36"/>
      <x:c r="X162" s="36" t="str">
        <x:f>IF(E162="","",IF(COUNTIF($E$7:$E$506,E162)&gt;1,"DUPLICATE","OK"))</x:f>
      </x:c>
    </x:row>
    <x:row r="163">
      <x:c r="A163" s="36" t="str">
        <x:v>NEX</x:v>
      </x:c>
      <x:c r="B163" s="36"/>
      <x:c r="C163" s="38"/>
      <x:c r="D163" s="38"/>
      <x:c r="E163" s="36" t="str">
        <x:f>IF(OR(A163="",B163="",C163="",D163=""),"",A163&amp;"-"&amp;B163&amp;"-"&amp;TEXT(C163,"0000")&amp;"-"&amp;TEXT(D163,"0000"))</x:f>
      </x:c>
      <x:c r="F163" s="36" t="str">
        <x:v>R0</x:v>
      </x:c>
      <x:c r="G163" s="40"/>
      <x:c r="H163" s="40"/>
      <x:c r="I163" s="36"/>
      <x:c r="J163" s="36"/>
      <x:c r="K163" s="36"/>
      <x:c r="L163" s="44"/>
      <x:c r="M163" s="36" t="str">
        <x:v>MYR</x:v>
      </x:c>
      <x:c r="N163" s="36"/>
      <x:c r="O163" s="36"/>
      <x:c r="P163" s="40"/>
      <x:c r="Q163" s="36" t="str">
        <x:f>IF(P163="","",P163-TODAY())</x:f>
      </x:c>
      <x:c r="R163" s="36" t="str">
        <x:f>IF(E163="","",IF(X163="DUPLICATE","STOP — DUPLICATE",IF(OR(N163="Completed",N163="Cancelled",N163="Rejected",N163="Superseded"),"Closed",IF(P163="","No due date",IF(Q163&lt;0,"OVERDUE",IF(Q163&lt;=7,"DUE SOON","Open"))))))</x:f>
      </x:c>
      <x:c r="S163" s="36"/>
      <x:c r="T163" s="36"/>
      <x:c r="U163" s="36"/>
      <x:c r="V163" s="42"/>
      <x:c r="W163" s="36"/>
      <x:c r="X163" s="36" t="str">
        <x:f>IF(E163="","",IF(COUNTIF($E$7:$E$506,E163)&gt;1,"DUPLICATE","OK"))</x:f>
      </x:c>
    </x:row>
    <x:row r="164">
      <x:c r="A164" s="36" t="str">
        <x:v>NEX</x:v>
      </x:c>
      <x:c r="B164" s="36"/>
      <x:c r="C164" s="38"/>
      <x:c r="D164" s="38"/>
      <x:c r="E164" s="36" t="str">
        <x:f>IF(OR(A164="",B164="",C164="",D164=""),"",A164&amp;"-"&amp;B164&amp;"-"&amp;TEXT(C164,"0000")&amp;"-"&amp;TEXT(D164,"0000"))</x:f>
      </x:c>
      <x:c r="F164" s="36" t="str">
        <x:v>R0</x:v>
      </x:c>
      <x:c r="G164" s="40"/>
      <x:c r="H164" s="40"/>
      <x:c r="I164" s="36"/>
      <x:c r="J164" s="36"/>
      <x:c r="K164" s="36"/>
      <x:c r="L164" s="44"/>
      <x:c r="M164" s="36" t="str">
        <x:v>MYR</x:v>
      </x:c>
      <x:c r="N164" s="36"/>
      <x:c r="O164" s="36"/>
      <x:c r="P164" s="40"/>
      <x:c r="Q164" s="36" t="str">
        <x:f>IF(P164="","",P164-TODAY())</x:f>
      </x:c>
      <x:c r="R164" s="36" t="str">
        <x:f>IF(E164="","",IF(X164="DUPLICATE","STOP — DUPLICATE",IF(OR(N164="Completed",N164="Cancelled",N164="Rejected",N164="Superseded"),"Closed",IF(P164="","No due date",IF(Q164&lt;0,"OVERDUE",IF(Q164&lt;=7,"DUE SOON","Open"))))))</x:f>
      </x:c>
      <x:c r="S164" s="36"/>
      <x:c r="T164" s="36"/>
      <x:c r="U164" s="36"/>
      <x:c r="V164" s="42"/>
      <x:c r="W164" s="36"/>
      <x:c r="X164" s="36" t="str">
        <x:f>IF(E164="","",IF(COUNTIF($E$7:$E$506,E164)&gt;1,"DUPLICATE","OK"))</x:f>
      </x:c>
    </x:row>
    <x:row r="165">
      <x:c r="A165" s="36" t="str">
        <x:v>NEX</x:v>
      </x:c>
      <x:c r="B165" s="36"/>
      <x:c r="C165" s="38"/>
      <x:c r="D165" s="38"/>
      <x:c r="E165" s="36" t="str">
        <x:f>IF(OR(A165="",B165="",C165="",D165=""),"",A165&amp;"-"&amp;B165&amp;"-"&amp;TEXT(C165,"0000")&amp;"-"&amp;TEXT(D165,"0000"))</x:f>
      </x:c>
      <x:c r="F165" s="36" t="str">
        <x:v>R0</x:v>
      </x:c>
      <x:c r="G165" s="40"/>
      <x:c r="H165" s="40"/>
      <x:c r="I165" s="36"/>
      <x:c r="J165" s="36"/>
      <x:c r="K165" s="36"/>
      <x:c r="L165" s="44"/>
      <x:c r="M165" s="36" t="str">
        <x:v>MYR</x:v>
      </x:c>
      <x:c r="N165" s="36"/>
      <x:c r="O165" s="36"/>
      <x:c r="P165" s="40"/>
      <x:c r="Q165" s="36" t="str">
        <x:f>IF(P165="","",P165-TODAY())</x:f>
      </x:c>
      <x:c r="R165" s="36" t="str">
        <x:f>IF(E165="","",IF(X165="DUPLICATE","STOP — DUPLICATE",IF(OR(N165="Completed",N165="Cancelled",N165="Rejected",N165="Superseded"),"Closed",IF(P165="","No due date",IF(Q165&lt;0,"OVERDUE",IF(Q165&lt;=7,"DUE SOON","Open"))))))</x:f>
      </x:c>
      <x:c r="S165" s="36"/>
      <x:c r="T165" s="36"/>
      <x:c r="U165" s="36"/>
      <x:c r="V165" s="42"/>
      <x:c r="W165" s="36"/>
      <x:c r="X165" s="36" t="str">
        <x:f>IF(E165="","",IF(COUNTIF($E$7:$E$506,E165)&gt;1,"DUPLICATE","OK"))</x:f>
      </x:c>
    </x:row>
    <x:row r="166">
      <x:c r="A166" s="36" t="str">
        <x:v>NEX</x:v>
      </x:c>
      <x:c r="B166" s="36"/>
      <x:c r="C166" s="38"/>
      <x:c r="D166" s="38"/>
      <x:c r="E166" s="36" t="str">
        <x:f>IF(OR(A166="",B166="",C166="",D166=""),"",A166&amp;"-"&amp;B166&amp;"-"&amp;TEXT(C166,"0000")&amp;"-"&amp;TEXT(D166,"0000"))</x:f>
      </x:c>
      <x:c r="F166" s="36" t="str">
        <x:v>R0</x:v>
      </x:c>
      <x:c r="G166" s="40"/>
      <x:c r="H166" s="40"/>
      <x:c r="I166" s="36"/>
      <x:c r="J166" s="36"/>
      <x:c r="K166" s="36"/>
      <x:c r="L166" s="44"/>
      <x:c r="M166" s="36" t="str">
        <x:v>MYR</x:v>
      </x:c>
      <x:c r="N166" s="36"/>
      <x:c r="O166" s="36"/>
      <x:c r="P166" s="40"/>
      <x:c r="Q166" s="36" t="str">
        <x:f>IF(P166="","",P166-TODAY())</x:f>
      </x:c>
      <x:c r="R166" s="36" t="str">
        <x:f>IF(E166="","",IF(X166="DUPLICATE","STOP — DUPLICATE",IF(OR(N166="Completed",N166="Cancelled",N166="Rejected",N166="Superseded"),"Closed",IF(P166="","No due date",IF(Q166&lt;0,"OVERDUE",IF(Q166&lt;=7,"DUE SOON","Open"))))))</x:f>
      </x:c>
      <x:c r="S166" s="36"/>
      <x:c r="T166" s="36"/>
      <x:c r="U166" s="36"/>
      <x:c r="V166" s="42"/>
      <x:c r="W166" s="36"/>
      <x:c r="X166" s="36" t="str">
        <x:f>IF(E166="","",IF(COUNTIF($E$7:$E$506,E166)&gt;1,"DUPLICATE","OK"))</x:f>
      </x:c>
    </x:row>
    <x:row r="167">
      <x:c r="A167" s="36" t="str">
        <x:v>NEX</x:v>
      </x:c>
      <x:c r="B167" s="36"/>
      <x:c r="C167" s="38"/>
      <x:c r="D167" s="38"/>
      <x:c r="E167" s="36" t="str">
        <x:f>IF(OR(A167="",B167="",C167="",D167=""),"",A167&amp;"-"&amp;B167&amp;"-"&amp;TEXT(C167,"0000")&amp;"-"&amp;TEXT(D167,"0000"))</x:f>
      </x:c>
      <x:c r="F167" s="36" t="str">
        <x:v>R0</x:v>
      </x:c>
      <x:c r="G167" s="40"/>
      <x:c r="H167" s="40"/>
      <x:c r="I167" s="36"/>
      <x:c r="J167" s="36"/>
      <x:c r="K167" s="36"/>
      <x:c r="L167" s="44"/>
      <x:c r="M167" s="36" t="str">
        <x:v>MYR</x:v>
      </x:c>
      <x:c r="N167" s="36"/>
      <x:c r="O167" s="36"/>
      <x:c r="P167" s="40"/>
      <x:c r="Q167" s="36" t="str">
        <x:f>IF(P167="","",P167-TODAY())</x:f>
      </x:c>
      <x:c r="R167" s="36" t="str">
        <x:f>IF(E167="","",IF(X167="DUPLICATE","STOP — DUPLICATE",IF(OR(N167="Completed",N167="Cancelled",N167="Rejected",N167="Superseded"),"Closed",IF(P167="","No due date",IF(Q167&lt;0,"OVERDUE",IF(Q167&lt;=7,"DUE SOON","Open"))))))</x:f>
      </x:c>
      <x:c r="S167" s="36"/>
      <x:c r="T167" s="36"/>
      <x:c r="U167" s="36"/>
      <x:c r="V167" s="42"/>
      <x:c r="W167" s="36"/>
      <x:c r="X167" s="36" t="str">
        <x:f>IF(E167="","",IF(COUNTIF($E$7:$E$506,E167)&gt;1,"DUPLICATE","OK"))</x:f>
      </x:c>
    </x:row>
    <x:row r="168">
      <x:c r="A168" s="36" t="str">
        <x:v>NEX</x:v>
      </x:c>
      <x:c r="B168" s="36"/>
      <x:c r="C168" s="38"/>
      <x:c r="D168" s="38"/>
      <x:c r="E168" s="36" t="str">
        <x:f>IF(OR(A168="",B168="",C168="",D168=""),"",A168&amp;"-"&amp;B168&amp;"-"&amp;TEXT(C168,"0000")&amp;"-"&amp;TEXT(D168,"0000"))</x:f>
      </x:c>
      <x:c r="F168" s="36" t="str">
        <x:v>R0</x:v>
      </x:c>
      <x:c r="G168" s="40"/>
      <x:c r="H168" s="40"/>
      <x:c r="I168" s="36"/>
      <x:c r="J168" s="36"/>
      <x:c r="K168" s="36"/>
      <x:c r="L168" s="44"/>
      <x:c r="M168" s="36" t="str">
        <x:v>MYR</x:v>
      </x:c>
      <x:c r="N168" s="36"/>
      <x:c r="O168" s="36"/>
      <x:c r="P168" s="40"/>
      <x:c r="Q168" s="36" t="str">
        <x:f>IF(P168="","",P168-TODAY())</x:f>
      </x:c>
      <x:c r="R168" s="36" t="str">
        <x:f>IF(E168="","",IF(X168="DUPLICATE","STOP — DUPLICATE",IF(OR(N168="Completed",N168="Cancelled",N168="Rejected",N168="Superseded"),"Closed",IF(P168="","No due date",IF(Q168&lt;0,"OVERDUE",IF(Q168&lt;=7,"DUE SOON","Open"))))))</x:f>
      </x:c>
      <x:c r="S168" s="36"/>
      <x:c r="T168" s="36"/>
      <x:c r="U168" s="36"/>
      <x:c r="V168" s="42"/>
      <x:c r="W168" s="36"/>
      <x:c r="X168" s="36" t="str">
        <x:f>IF(E168="","",IF(COUNTIF($E$7:$E$506,E168)&gt;1,"DUPLICATE","OK"))</x:f>
      </x:c>
    </x:row>
    <x:row r="169">
      <x:c r="A169" s="36" t="str">
        <x:v>NEX</x:v>
      </x:c>
      <x:c r="B169" s="36"/>
      <x:c r="C169" s="38"/>
      <x:c r="D169" s="38"/>
      <x:c r="E169" s="36" t="str">
        <x:f>IF(OR(A169="",B169="",C169="",D169=""),"",A169&amp;"-"&amp;B169&amp;"-"&amp;TEXT(C169,"0000")&amp;"-"&amp;TEXT(D169,"0000"))</x:f>
      </x:c>
      <x:c r="F169" s="36" t="str">
        <x:v>R0</x:v>
      </x:c>
      <x:c r="G169" s="40"/>
      <x:c r="H169" s="40"/>
      <x:c r="I169" s="36"/>
      <x:c r="J169" s="36"/>
      <x:c r="K169" s="36"/>
      <x:c r="L169" s="44"/>
      <x:c r="M169" s="36" t="str">
        <x:v>MYR</x:v>
      </x:c>
      <x:c r="N169" s="36"/>
      <x:c r="O169" s="36"/>
      <x:c r="P169" s="40"/>
      <x:c r="Q169" s="36" t="str">
        <x:f>IF(P169="","",P169-TODAY())</x:f>
      </x:c>
      <x:c r="R169" s="36" t="str">
        <x:f>IF(E169="","",IF(X169="DUPLICATE","STOP — DUPLICATE",IF(OR(N169="Completed",N169="Cancelled",N169="Rejected",N169="Superseded"),"Closed",IF(P169="","No due date",IF(Q169&lt;0,"OVERDUE",IF(Q169&lt;=7,"DUE SOON","Open"))))))</x:f>
      </x:c>
      <x:c r="S169" s="36"/>
      <x:c r="T169" s="36"/>
      <x:c r="U169" s="36"/>
      <x:c r="V169" s="42"/>
      <x:c r="W169" s="36"/>
      <x:c r="X169" s="36" t="str">
        <x:f>IF(E169="","",IF(COUNTIF($E$7:$E$506,E169)&gt;1,"DUPLICATE","OK"))</x:f>
      </x:c>
    </x:row>
    <x:row r="170">
      <x:c r="A170" s="36" t="str">
        <x:v>NEX</x:v>
      </x:c>
      <x:c r="B170" s="36"/>
      <x:c r="C170" s="38"/>
      <x:c r="D170" s="38"/>
      <x:c r="E170" s="36" t="str">
        <x:f>IF(OR(A170="",B170="",C170="",D170=""),"",A170&amp;"-"&amp;B170&amp;"-"&amp;TEXT(C170,"0000")&amp;"-"&amp;TEXT(D170,"0000"))</x:f>
      </x:c>
      <x:c r="F170" s="36" t="str">
        <x:v>R0</x:v>
      </x:c>
      <x:c r="G170" s="40"/>
      <x:c r="H170" s="40"/>
      <x:c r="I170" s="36"/>
      <x:c r="J170" s="36"/>
      <x:c r="K170" s="36"/>
      <x:c r="L170" s="44"/>
      <x:c r="M170" s="36" t="str">
        <x:v>MYR</x:v>
      </x:c>
      <x:c r="N170" s="36"/>
      <x:c r="O170" s="36"/>
      <x:c r="P170" s="40"/>
      <x:c r="Q170" s="36" t="str">
        <x:f>IF(P170="","",P170-TODAY())</x:f>
      </x:c>
      <x:c r="R170" s="36" t="str">
        <x:f>IF(E170="","",IF(X170="DUPLICATE","STOP — DUPLICATE",IF(OR(N170="Completed",N170="Cancelled",N170="Rejected",N170="Superseded"),"Closed",IF(P170="","No due date",IF(Q170&lt;0,"OVERDUE",IF(Q170&lt;=7,"DUE SOON","Open"))))))</x:f>
      </x:c>
      <x:c r="S170" s="36"/>
      <x:c r="T170" s="36"/>
      <x:c r="U170" s="36"/>
      <x:c r="V170" s="42"/>
      <x:c r="W170" s="36"/>
      <x:c r="X170" s="36" t="str">
        <x:f>IF(E170="","",IF(COUNTIF($E$7:$E$506,E170)&gt;1,"DUPLICATE","OK"))</x:f>
      </x:c>
    </x:row>
    <x:row r="171">
      <x:c r="A171" s="36" t="str">
        <x:v>NEX</x:v>
      </x:c>
      <x:c r="B171" s="36"/>
      <x:c r="C171" s="38"/>
      <x:c r="D171" s="38"/>
      <x:c r="E171" s="36" t="str">
        <x:f>IF(OR(A171="",B171="",C171="",D171=""),"",A171&amp;"-"&amp;B171&amp;"-"&amp;TEXT(C171,"0000")&amp;"-"&amp;TEXT(D171,"0000"))</x:f>
      </x:c>
      <x:c r="F171" s="36" t="str">
        <x:v>R0</x:v>
      </x:c>
      <x:c r="G171" s="40"/>
      <x:c r="H171" s="40"/>
      <x:c r="I171" s="36"/>
      <x:c r="J171" s="36"/>
      <x:c r="K171" s="36"/>
      <x:c r="L171" s="44"/>
      <x:c r="M171" s="36" t="str">
        <x:v>MYR</x:v>
      </x:c>
      <x:c r="N171" s="36"/>
      <x:c r="O171" s="36"/>
      <x:c r="P171" s="40"/>
      <x:c r="Q171" s="36" t="str">
        <x:f>IF(P171="","",P171-TODAY())</x:f>
      </x:c>
      <x:c r="R171" s="36" t="str">
        <x:f>IF(E171="","",IF(X171="DUPLICATE","STOP — DUPLICATE",IF(OR(N171="Completed",N171="Cancelled",N171="Rejected",N171="Superseded"),"Closed",IF(P171="","No due date",IF(Q171&lt;0,"OVERDUE",IF(Q171&lt;=7,"DUE SOON","Open"))))))</x:f>
      </x:c>
      <x:c r="S171" s="36"/>
      <x:c r="T171" s="36"/>
      <x:c r="U171" s="36"/>
      <x:c r="V171" s="42"/>
      <x:c r="W171" s="36"/>
      <x:c r="X171" s="36" t="str">
        <x:f>IF(E171="","",IF(COUNTIF($E$7:$E$506,E171)&gt;1,"DUPLICATE","OK"))</x:f>
      </x:c>
    </x:row>
    <x:row r="172">
      <x:c r="A172" s="36" t="str">
        <x:v>NEX</x:v>
      </x:c>
      <x:c r="B172" s="36"/>
      <x:c r="C172" s="38"/>
      <x:c r="D172" s="38"/>
      <x:c r="E172" s="36" t="str">
        <x:f>IF(OR(A172="",B172="",C172="",D172=""),"",A172&amp;"-"&amp;B172&amp;"-"&amp;TEXT(C172,"0000")&amp;"-"&amp;TEXT(D172,"0000"))</x:f>
      </x:c>
      <x:c r="F172" s="36" t="str">
        <x:v>R0</x:v>
      </x:c>
      <x:c r="G172" s="40"/>
      <x:c r="H172" s="40"/>
      <x:c r="I172" s="36"/>
      <x:c r="J172" s="36"/>
      <x:c r="K172" s="36"/>
      <x:c r="L172" s="44"/>
      <x:c r="M172" s="36" t="str">
        <x:v>MYR</x:v>
      </x:c>
      <x:c r="N172" s="36"/>
      <x:c r="O172" s="36"/>
      <x:c r="P172" s="40"/>
      <x:c r="Q172" s="36" t="str">
        <x:f>IF(P172="","",P172-TODAY())</x:f>
      </x:c>
      <x:c r="R172" s="36" t="str">
        <x:f>IF(E172="","",IF(X172="DUPLICATE","STOP — DUPLICATE",IF(OR(N172="Completed",N172="Cancelled",N172="Rejected",N172="Superseded"),"Closed",IF(P172="","No due date",IF(Q172&lt;0,"OVERDUE",IF(Q172&lt;=7,"DUE SOON","Open"))))))</x:f>
      </x:c>
      <x:c r="S172" s="36"/>
      <x:c r="T172" s="36"/>
      <x:c r="U172" s="36"/>
      <x:c r="V172" s="42"/>
      <x:c r="W172" s="36"/>
      <x:c r="X172" s="36" t="str">
        <x:f>IF(E172="","",IF(COUNTIF($E$7:$E$506,E172)&gt;1,"DUPLICATE","OK"))</x:f>
      </x:c>
    </x:row>
    <x:row r="173">
      <x:c r="A173" s="36" t="str">
        <x:v>NEX</x:v>
      </x:c>
      <x:c r="B173" s="36"/>
      <x:c r="C173" s="38"/>
      <x:c r="D173" s="38"/>
      <x:c r="E173" s="36" t="str">
        <x:f>IF(OR(A173="",B173="",C173="",D173=""),"",A173&amp;"-"&amp;B173&amp;"-"&amp;TEXT(C173,"0000")&amp;"-"&amp;TEXT(D173,"0000"))</x:f>
      </x:c>
      <x:c r="F173" s="36" t="str">
        <x:v>R0</x:v>
      </x:c>
      <x:c r="G173" s="40"/>
      <x:c r="H173" s="40"/>
      <x:c r="I173" s="36"/>
      <x:c r="J173" s="36"/>
      <x:c r="K173" s="36"/>
      <x:c r="L173" s="44"/>
      <x:c r="M173" s="36" t="str">
        <x:v>MYR</x:v>
      </x:c>
      <x:c r="N173" s="36"/>
      <x:c r="O173" s="36"/>
      <x:c r="P173" s="40"/>
      <x:c r="Q173" s="36" t="str">
        <x:f>IF(P173="","",P173-TODAY())</x:f>
      </x:c>
      <x:c r="R173" s="36" t="str">
        <x:f>IF(E173="","",IF(X173="DUPLICATE","STOP — DUPLICATE",IF(OR(N173="Completed",N173="Cancelled",N173="Rejected",N173="Superseded"),"Closed",IF(P173="","No due date",IF(Q173&lt;0,"OVERDUE",IF(Q173&lt;=7,"DUE SOON","Open"))))))</x:f>
      </x:c>
      <x:c r="S173" s="36"/>
      <x:c r="T173" s="36"/>
      <x:c r="U173" s="36"/>
      <x:c r="V173" s="42"/>
      <x:c r="W173" s="36"/>
      <x:c r="X173" s="36" t="str">
        <x:f>IF(E173="","",IF(COUNTIF($E$7:$E$506,E173)&gt;1,"DUPLICATE","OK"))</x:f>
      </x:c>
    </x:row>
    <x:row r="174">
      <x:c r="A174" s="36" t="str">
        <x:v>NEX</x:v>
      </x:c>
      <x:c r="B174" s="36"/>
      <x:c r="C174" s="38"/>
      <x:c r="D174" s="38"/>
      <x:c r="E174" s="36" t="str">
        <x:f>IF(OR(A174="",B174="",C174="",D174=""),"",A174&amp;"-"&amp;B174&amp;"-"&amp;TEXT(C174,"0000")&amp;"-"&amp;TEXT(D174,"0000"))</x:f>
      </x:c>
      <x:c r="F174" s="36" t="str">
        <x:v>R0</x:v>
      </x:c>
      <x:c r="G174" s="40"/>
      <x:c r="H174" s="40"/>
      <x:c r="I174" s="36"/>
      <x:c r="J174" s="36"/>
      <x:c r="K174" s="36"/>
      <x:c r="L174" s="44"/>
      <x:c r="M174" s="36" t="str">
        <x:v>MYR</x:v>
      </x:c>
      <x:c r="N174" s="36"/>
      <x:c r="O174" s="36"/>
      <x:c r="P174" s="40"/>
      <x:c r="Q174" s="36" t="str">
        <x:f>IF(P174="","",P174-TODAY())</x:f>
      </x:c>
      <x:c r="R174" s="36" t="str">
        <x:f>IF(E174="","",IF(X174="DUPLICATE","STOP — DUPLICATE",IF(OR(N174="Completed",N174="Cancelled",N174="Rejected",N174="Superseded"),"Closed",IF(P174="","No due date",IF(Q174&lt;0,"OVERDUE",IF(Q174&lt;=7,"DUE SOON","Open"))))))</x:f>
      </x:c>
      <x:c r="S174" s="36"/>
      <x:c r="T174" s="36"/>
      <x:c r="U174" s="36"/>
      <x:c r="V174" s="42"/>
      <x:c r="W174" s="36"/>
      <x:c r="X174" s="36" t="str">
        <x:f>IF(E174="","",IF(COUNTIF($E$7:$E$506,E174)&gt;1,"DUPLICATE","OK"))</x:f>
      </x:c>
    </x:row>
    <x:row r="175">
      <x:c r="A175" s="36" t="str">
        <x:v>NEX</x:v>
      </x:c>
      <x:c r="B175" s="36"/>
      <x:c r="C175" s="38"/>
      <x:c r="D175" s="38"/>
      <x:c r="E175" s="36" t="str">
        <x:f>IF(OR(A175="",B175="",C175="",D175=""),"",A175&amp;"-"&amp;B175&amp;"-"&amp;TEXT(C175,"0000")&amp;"-"&amp;TEXT(D175,"0000"))</x:f>
      </x:c>
      <x:c r="F175" s="36" t="str">
        <x:v>R0</x:v>
      </x:c>
      <x:c r="G175" s="40"/>
      <x:c r="H175" s="40"/>
      <x:c r="I175" s="36"/>
      <x:c r="J175" s="36"/>
      <x:c r="K175" s="36"/>
      <x:c r="L175" s="44"/>
      <x:c r="M175" s="36" t="str">
        <x:v>MYR</x:v>
      </x:c>
      <x:c r="N175" s="36"/>
      <x:c r="O175" s="36"/>
      <x:c r="P175" s="40"/>
      <x:c r="Q175" s="36" t="str">
        <x:f>IF(P175="","",P175-TODAY())</x:f>
      </x:c>
      <x:c r="R175" s="36" t="str">
        <x:f>IF(E175="","",IF(X175="DUPLICATE","STOP — DUPLICATE",IF(OR(N175="Completed",N175="Cancelled",N175="Rejected",N175="Superseded"),"Closed",IF(P175="","No due date",IF(Q175&lt;0,"OVERDUE",IF(Q175&lt;=7,"DUE SOON","Open"))))))</x:f>
      </x:c>
      <x:c r="S175" s="36"/>
      <x:c r="T175" s="36"/>
      <x:c r="U175" s="36"/>
      <x:c r="V175" s="42"/>
      <x:c r="W175" s="36"/>
      <x:c r="X175" s="36" t="str">
        <x:f>IF(E175="","",IF(COUNTIF($E$7:$E$506,E175)&gt;1,"DUPLICATE","OK"))</x:f>
      </x:c>
    </x:row>
    <x:row r="176">
      <x:c r="A176" s="36" t="str">
        <x:v>NEX</x:v>
      </x:c>
      <x:c r="B176" s="36"/>
      <x:c r="C176" s="38"/>
      <x:c r="D176" s="38"/>
      <x:c r="E176" s="36" t="str">
        <x:f>IF(OR(A176="",B176="",C176="",D176=""),"",A176&amp;"-"&amp;B176&amp;"-"&amp;TEXT(C176,"0000")&amp;"-"&amp;TEXT(D176,"0000"))</x:f>
      </x:c>
      <x:c r="F176" s="36" t="str">
        <x:v>R0</x:v>
      </x:c>
      <x:c r="G176" s="40"/>
      <x:c r="H176" s="40"/>
      <x:c r="I176" s="36"/>
      <x:c r="J176" s="36"/>
      <x:c r="K176" s="36"/>
      <x:c r="L176" s="44"/>
      <x:c r="M176" s="36" t="str">
        <x:v>MYR</x:v>
      </x:c>
      <x:c r="N176" s="36"/>
      <x:c r="O176" s="36"/>
      <x:c r="P176" s="40"/>
      <x:c r="Q176" s="36" t="str">
        <x:f>IF(P176="","",P176-TODAY())</x:f>
      </x:c>
      <x:c r="R176" s="36" t="str">
        <x:f>IF(E176="","",IF(X176="DUPLICATE","STOP — DUPLICATE",IF(OR(N176="Completed",N176="Cancelled",N176="Rejected",N176="Superseded"),"Closed",IF(P176="","No due date",IF(Q176&lt;0,"OVERDUE",IF(Q176&lt;=7,"DUE SOON","Open"))))))</x:f>
      </x:c>
      <x:c r="S176" s="36"/>
      <x:c r="T176" s="36"/>
      <x:c r="U176" s="36"/>
      <x:c r="V176" s="42"/>
      <x:c r="W176" s="36"/>
      <x:c r="X176" s="36" t="str">
        <x:f>IF(E176="","",IF(COUNTIF($E$7:$E$506,E176)&gt;1,"DUPLICATE","OK"))</x:f>
      </x:c>
    </x:row>
    <x:row r="177">
      <x:c r="A177" s="36" t="str">
        <x:v>NEX</x:v>
      </x:c>
      <x:c r="B177" s="36"/>
      <x:c r="C177" s="38"/>
      <x:c r="D177" s="38"/>
      <x:c r="E177" s="36" t="str">
        <x:f>IF(OR(A177="",B177="",C177="",D177=""),"",A177&amp;"-"&amp;B177&amp;"-"&amp;TEXT(C177,"0000")&amp;"-"&amp;TEXT(D177,"0000"))</x:f>
      </x:c>
      <x:c r="F177" s="36" t="str">
        <x:v>R0</x:v>
      </x:c>
      <x:c r="G177" s="40"/>
      <x:c r="H177" s="40"/>
      <x:c r="I177" s="36"/>
      <x:c r="J177" s="36"/>
      <x:c r="K177" s="36"/>
      <x:c r="L177" s="44"/>
      <x:c r="M177" s="36" t="str">
        <x:v>MYR</x:v>
      </x:c>
      <x:c r="N177" s="36"/>
      <x:c r="O177" s="36"/>
      <x:c r="P177" s="40"/>
      <x:c r="Q177" s="36" t="str">
        <x:f>IF(P177="","",P177-TODAY())</x:f>
      </x:c>
      <x:c r="R177" s="36" t="str">
        <x:f>IF(E177="","",IF(X177="DUPLICATE","STOP — DUPLICATE",IF(OR(N177="Completed",N177="Cancelled",N177="Rejected",N177="Superseded"),"Closed",IF(P177="","No due date",IF(Q177&lt;0,"OVERDUE",IF(Q177&lt;=7,"DUE SOON","Open"))))))</x:f>
      </x:c>
      <x:c r="S177" s="36"/>
      <x:c r="T177" s="36"/>
      <x:c r="U177" s="36"/>
      <x:c r="V177" s="42"/>
      <x:c r="W177" s="36"/>
      <x:c r="X177" s="36" t="str">
        <x:f>IF(E177="","",IF(COUNTIF($E$7:$E$506,E177)&gt;1,"DUPLICATE","OK"))</x:f>
      </x:c>
    </x:row>
    <x:row r="178">
      <x:c r="A178" s="36" t="str">
        <x:v>NEX</x:v>
      </x:c>
      <x:c r="B178" s="36"/>
      <x:c r="C178" s="38"/>
      <x:c r="D178" s="38"/>
      <x:c r="E178" s="36" t="str">
        <x:f>IF(OR(A178="",B178="",C178="",D178=""),"",A178&amp;"-"&amp;B178&amp;"-"&amp;TEXT(C178,"0000")&amp;"-"&amp;TEXT(D178,"0000"))</x:f>
      </x:c>
      <x:c r="F178" s="36" t="str">
        <x:v>R0</x:v>
      </x:c>
      <x:c r="G178" s="40"/>
      <x:c r="H178" s="40"/>
      <x:c r="I178" s="36"/>
      <x:c r="J178" s="36"/>
      <x:c r="K178" s="36"/>
      <x:c r="L178" s="44"/>
      <x:c r="M178" s="36" t="str">
        <x:v>MYR</x:v>
      </x:c>
      <x:c r="N178" s="36"/>
      <x:c r="O178" s="36"/>
      <x:c r="P178" s="40"/>
      <x:c r="Q178" s="36" t="str">
        <x:f>IF(P178="","",P178-TODAY())</x:f>
      </x:c>
      <x:c r="R178" s="36" t="str">
        <x:f>IF(E178="","",IF(X178="DUPLICATE","STOP — DUPLICATE",IF(OR(N178="Completed",N178="Cancelled",N178="Rejected",N178="Superseded"),"Closed",IF(P178="","No due date",IF(Q178&lt;0,"OVERDUE",IF(Q178&lt;=7,"DUE SOON","Open"))))))</x:f>
      </x:c>
      <x:c r="S178" s="36"/>
      <x:c r="T178" s="36"/>
      <x:c r="U178" s="36"/>
      <x:c r="V178" s="42"/>
      <x:c r="W178" s="36"/>
      <x:c r="X178" s="36" t="str">
        <x:f>IF(E178="","",IF(COUNTIF($E$7:$E$506,E178)&gt;1,"DUPLICATE","OK"))</x:f>
      </x:c>
    </x:row>
    <x:row r="179">
      <x:c r="A179" s="36" t="str">
        <x:v>NEX</x:v>
      </x:c>
      <x:c r="B179" s="36"/>
      <x:c r="C179" s="38"/>
      <x:c r="D179" s="38"/>
      <x:c r="E179" s="36" t="str">
        <x:f>IF(OR(A179="",B179="",C179="",D179=""),"",A179&amp;"-"&amp;B179&amp;"-"&amp;TEXT(C179,"0000")&amp;"-"&amp;TEXT(D179,"0000"))</x:f>
      </x:c>
      <x:c r="F179" s="36" t="str">
        <x:v>R0</x:v>
      </x:c>
      <x:c r="G179" s="40"/>
      <x:c r="H179" s="40"/>
      <x:c r="I179" s="36"/>
      <x:c r="J179" s="36"/>
      <x:c r="K179" s="36"/>
      <x:c r="L179" s="44"/>
      <x:c r="M179" s="36" t="str">
        <x:v>MYR</x:v>
      </x:c>
      <x:c r="N179" s="36"/>
      <x:c r="O179" s="36"/>
      <x:c r="P179" s="40"/>
      <x:c r="Q179" s="36" t="str">
        <x:f>IF(P179="","",P179-TODAY())</x:f>
      </x:c>
      <x:c r="R179" s="36" t="str">
        <x:f>IF(E179="","",IF(X179="DUPLICATE","STOP — DUPLICATE",IF(OR(N179="Completed",N179="Cancelled",N179="Rejected",N179="Superseded"),"Closed",IF(P179="","No due date",IF(Q179&lt;0,"OVERDUE",IF(Q179&lt;=7,"DUE SOON","Open"))))))</x:f>
      </x:c>
      <x:c r="S179" s="36"/>
      <x:c r="T179" s="36"/>
      <x:c r="U179" s="36"/>
      <x:c r="V179" s="42"/>
      <x:c r="W179" s="36"/>
      <x:c r="X179" s="36" t="str">
        <x:f>IF(E179="","",IF(COUNTIF($E$7:$E$506,E179)&gt;1,"DUPLICATE","OK"))</x:f>
      </x:c>
    </x:row>
    <x:row r="180">
      <x:c r="A180" s="36" t="str">
        <x:v>NEX</x:v>
      </x:c>
      <x:c r="B180" s="36"/>
      <x:c r="C180" s="38"/>
      <x:c r="D180" s="38"/>
      <x:c r="E180" s="36" t="str">
        <x:f>IF(OR(A180="",B180="",C180="",D180=""),"",A180&amp;"-"&amp;B180&amp;"-"&amp;TEXT(C180,"0000")&amp;"-"&amp;TEXT(D180,"0000"))</x:f>
      </x:c>
      <x:c r="F180" s="36" t="str">
        <x:v>R0</x:v>
      </x:c>
      <x:c r="G180" s="40"/>
      <x:c r="H180" s="40"/>
      <x:c r="I180" s="36"/>
      <x:c r="J180" s="36"/>
      <x:c r="K180" s="36"/>
      <x:c r="L180" s="44"/>
      <x:c r="M180" s="36" t="str">
        <x:v>MYR</x:v>
      </x:c>
      <x:c r="N180" s="36"/>
      <x:c r="O180" s="36"/>
      <x:c r="P180" s="40"/>
      <x:c r="Q180" s="36" t="str">
        <x:f>IF(P180="","",P180-TODAY())</x:f>
      </x:c>
      <x:c r="R180" s="36" t="str">
        <x:f>IF(E180="","",IF(X180="DUPLICATE","STOP — DUPLICATE",IF(OR(N180="Completed",N180="Cancelled",N180="Rejected",N180="Superseded"),"Closed",IF(P180="","No due date",IF(Q180&lt;0,"OVERDUE",IF(Q180&lt;=7,"DUE SOON","Open"))))))</x:f>
      </x:c>
      <x:c r="S180" s="36"/>
      <x:c r="T180" s="36"/>
      <x:c r="U180" s="36"/>
      <x:c r="V180" s="42"/>
      <x:c r="W180" s="36"/>
      <x:c r="X180" s="36" t="str">
        <x:f>IF(E180="","",IF(COUNTIF($E$7:$E$506,E180)&gt;1,"DUPLICATE","OK"))</x:f>
      </x:c>
    </x:row>
    <x:row r="181">
      <x:c r="A181" s="36" t="str">
        <x:v>NEX</x:v>
      </x:c>
      <x:c r="B181" s="36"/>
      <x:c r="C181" s="38"/>
      <x:c r="D181" s="38"/>
      <x:c r="E181" s="36" t="str">
        <x:f>IF(OR(A181="",B181="",C181="",D181=""),"",A181&amp;"-"&amp;B181&amp;"-"&amp;TEXT(C181,"0000")&amp;"-"&amp;TEXT(D181,"0000"))</x:f>
      </x:c>
      <x:c r="F181" s="36" t="str">
        <x:v>R0</x:v>
      </x:c>
      <x:c r="G181" s="40"/>
      <x:c r="H181" s="40"/>
      <x:c r="I181" s="36"/>
      <x:c r="J181" s="36"/>
      <x:c r="K181" s="36"/>
      <x:c r="L181" s="44"/>
      <x:c r="M181" s="36" t="str">
        <x:v>MYR</x:v>
      </x:c>
      <x:c r="N181" s="36"/>
      <x:c r="O181" s="36"/>
      <x:c r="P181" s="40"/>
      <x:c r="Q181" s="36" t="str">
        <x:f>IF(P181="","",P181-TODAY())</x:f>
      </x:c>
      <x:c r="R181" s="36" t="str">
        <x:f>IF(E181="","",IF(X181="DUPLICATE","STOP — DUPLICATE",IF(OR(N181="Completed",N181="Cancelled",N181="Rejected",N181="Superseded"),"Closed",IF(P181="","No due date",IF(Q181&lt;0,"OVERDUE",IF(Q181&lt;=7,"DUE SOON","Open"))))))</x:f>
      </x:c>
      <x:c r="S181" s="36"/>
      <x:c r="T181" s="36"/>
      <x:c r="U181" s="36"/>
      <x:c r="V181" s="42"/>
      <x:c r="W181" s="36"/>
      <x:c r="X181" s="36" t="str">
        <x:f>IF(E181="","",IF(COUNTIF($E$7:$E$506,E181)&gt;1,"DUPLICATE","OK"))</x:f>
      </x:c>
    </x:row>
    <x:row r="182">
      <x:c r="A182" s="36" t="str">
        <x:v>NEX</x:v>
      </x:c>
      <x:c r="B182" s="36"/>
      <x:c r="C182" s="38"/>
      <x:c r="D182" s="38"/>
      <x:c r="E182" s="36" t="str">
        <x:f>IF(OR(A182="",B182="",C182="",D182=""),"",A182&amp;"-"&amp;B182&amp;"-"&amp;TEXT(C182,"0000")&amp;"-"&amp;TEXT(D182,"0000"))</x:f>
      </x:c>
      <x:c r="F182" s="36" t="str">
        <x:v>R0</x:v>
      </x:c>
      <x:c r="G182" s="40"/>
      <x:c r="H182" s="40"/>
      <x:c r="I182" s="36"/>
      <x:c r="J182" s="36"/>
      <x:c r="K182" s="36"/>
      <x:c r="L182" s="44"/>
      <x:c r="M182" s="36" t="str">
        <x:v>MYR</x:v>
      </x:c>
      <x:c r="N182" s="36"/>
      <x:c r="O182" s="36"/>
      <x:c r="P182" s="40"/>
      <x:c r="Q182" s="36" t="str">
        <x:f>IF(P182="","",P182-TODAY())</x:f>
      </x:c>
      <x:c r="R182" s="36" t="str">
        <x:f>IF(E182="","",IF(X182="DUPLICATE","STOP — DUPLICATE",IF(OR(N182="Completed",N182="Cancelled",N182="Rejected",N182="Superseded"),"Closed",IF(P182="","No due date",IF(Q182&lt;0,"OVERDUE",IF(Q182&lt;=7,"DUE SOON","Open"))))))</x:f>
      </x:c>
      <x:c r="S182" s="36"/>
      <x:c r="T182" s="36"/>
      <x:c r="U182" s="36"/>
      <x:c r="V182" s="42"/>
      <x:c r="W182" s="36"/>
      <x:c r="X182" s="36" t="str">
        <x:f>IF(E182="","",IF(COUNTIF($E$7:$E$506,E182)&gt;1,"DUPLICATE","OK"))</x:f>
      </x:c>
    </x:row>
    <x:row r="183">
      <x:c r="A183" s="36" t="str">
        <x:v>NEX</x:v>
      </x:c>
      <x:c r="B183" s="36"/>
      <x:c r="C183" s="38"/>
      <x:c r="D183" s="38"/>
      <x:c r="E183" s="36" t="str">
        <x:f>IF(OR(A183="",B183="",C183="",D183=""),"",A183&amp;"-"&amp;B183&amp;"-"&amp;TEXT(C183,"0000")&amp;"-"&amp;TEXT(D183,"0000"))</x:f>
      </x:c>
      <x:c r="F183" s="36" t="str">
        <x:v>R0</x:v>
      </x:c>
      <x:c r="G183" s="40"/>
      <x:c r="H183" s="40"/>
      <x:c r="I183" s="36"/>
      <x:c r="J183" s="36"/>
      <x:c r="K183" s="36"/>
      <x:c r="L183" s="44"/>
      <x:c r="M183" s="36" t="str">
        <x:v>MYR</x:v>
      </x:c>
      <x:c r="N183" s="36"/>
      <x:c r="O183" s="36"/>
      <x:c r="P183" s="40"/>
      <x:c r="Q183" s="36" t="str">
        <x:f>IF(P183="","",P183-TODAY())</x:f>
      </x:c>
      <x:c r="R183" s="36" t="str">
        <x:f>IF(E183="","",IF(X183="DUPLICATE","STOP — DUPLICATE",IF(OR(N183="Completed",N183="Cancelled",N183="Rejected",N183="Superseded"),"Closed",IF(P183="","No due date",IF(Q183&lt;0,"OVERDUE",IF(Q183&lt;=7,"DUE SOON","Open"))))))</x:f>
      </x:c>
      <x:c r="S183" s="36"/>
      <x:c r="T183" s="36"/>
      <x:c r="U183" s="36"/>
      <x:c r="V183" s="42"/>
      <x:c r="W183" s="36"/>
      <x:c r="X183" s="36" t="str">
        <x:f>IF(E183="","",IF(COUNTIF($E$7:$E$506,E183)&gt;1,"DUPLICATE","OK"))</x:f>
      </x:c>
    </x:row>
    <x:row r="184">
      <x:c r="A184" s="36" t="str">
        <x:v>NEX</x:v>
      </x:c>
      <x:c r="B184" s="36"/>
      <x:c r="C184" s="38"/>
      <x:c r="D184" s="38"/>
      <x:c r="E184" s="36" t="str">
        <x:f>IF(OR(A184="",B184="",C184="",D184=""),"",A184&amp;"-"&amp;B184&amp;"-"&amp;TEXT(C184,"0000")&amp;"-"&amp;TEXT(D184,"0000"))</x:f>
      </x:c>
      <x:c r="F184" s="36" t="str">
        <x:v>R0</x:v>
      </x:c>
      <x:c r="G184" s="40"/>
      <x:c r="H184" s="40"/>
      <x:c r="I184" s="36"/>
      <x:c r="J184" s="36"/>
      <x:c r="K184" s="36"/>
      <x:c r="L184" s="44"/>
      <x:c r="M184" s="36" t="str">
        <x:v>MYR</x:v>
      </x:c>
      <x:c r="N184" s="36"/>
      <x:c r="O184" s="36"/>
      <x:c r="P184" s="40"/>
      <x:c r="Q184" s="36" t="str">
        <x:f>IF(P184="","",P184-TODAY())</x:f>
      </x:c>
      <x:c r="R184" s="36" t="str">
        <x:f>IF(E184="","",IF(X184="DUPLICATE","STOP — DUPLICATE",IF(OR(N184="Completed",N184="Cancelled",N184="Rejected",N184="Superseded"),"Closed",IF(P184="","No due date",IF(Q184&lt;0,"OVERDUE",IF(Q184&lt;=7,"DUE SOON","Open"))))))</x:f>
      </x:c>
      <x:c r="S184" s="36"/>
      <x:c r="T184" s="36"/>
      <x:c r="U184" s="36"/>
      <x:c r="V184" s="42"/>
      <x:c r="W184" s="36"/>
      <x:c r="X184" s="36" t="str">
        <x:f>IF(E184="","",IF(COUNTIF($E$7:$E$506,E184)&gt;1,"DUPLICATE","OK"))</x:f>
      </x:c>
    </x:row>
    <x:row r="185">
      <x:c r="A185" s="36" t="str">
        <x:v>NEX</x:v>
      </x:c>
      <x:c r="B185" s="36"/>
      <x:c r="C185" s="38"/>
      <x:c r="D185" s="38"/>
      <x:c r="E185" s="36" t="str">
        <x:f>IF(OR(A185="",B185="",C185="",D185=""),"",A185&amp;"-"&amp;B185&amp;"-"&amp;TEXT(C185,"0000")&amp;"-"&amp;TEXT(D185,"0000"))</x:f>
      </x:c>
      <x:c r="F185" s="36" t="str">
        <x:v>R0</x:v>
      </x:c>
      <x:c r="G185" s="40"/>
      <x:c r="H185" s="40"/>
      <x:c r="I185" s="36"/>
      <x:c r="J185" s="36"/>
      <x:c r="K185" s="36"/>
      <x:c r="L185" s="44"/>
      <x:c r="M185" s="36" t="str">
        <x:v>MYR</x:v>
      </x:c>
      <x:c r="N185" s="36"/>
      <x:c r="O185" s="36"/>
      <x:c r="P185" s="40"/>
      <x:c r="Q185" s="36" t="str">
        <x:f>IF(P185="","",P185-TODAY())</x:f>
      </x:c>
      <x:c r="R185" s="36" t="str">
        <x:f>IF(E185="","",IF(X185="DUPLICATE","STOP — DUPLICATE",IF(OR(N185="Completed",N185="Cancelled",N185="Rejected",N185="Superseded"),"Closed",IF(P185="","No due date",IF(Q185&lt;0,"OVERDUE",IF(Q185&lt;=7,"DUE SOON","Open"))))))</x:f>
      </x:c>
      <x:c r="S185" s="36"/>
      <x:c r="T185" s="36"/>
      <x:c r="U185" s="36"/>
      <x:c r="V185" s="42"/>
      <x:c r="W185" s="36"/>
      <x:c r="X185" s="36" t="str">
        <x:f>IF(E185="","",IF(COUNTIF($E$7:$E$506,E185)&gt;1,"DUPLICATE","OK"))</x:f>
      </x:c>
    </x:row>
    <x:row r="186">
      <x:c r="A186" s="36" t="str">
        <x:v>NEX</x:v>
      </x:c>
      <x:c r="B186" s="36"/>
      <x:c r="C186" s="38"/>
      <x:c r="D186" s="38"/>
      <x:c r="E186" s="36" t="str">
        <x:f>IF(OR(A186="",B186="",C186="",D186=""),"",A186&amp;"-"&amp;B186&amp;"-"&amp;TEXT(C186,"0000")&amp;"-"&amp;TEXT(D186,"0000"))</x:f>
      </x:c>
      <x:c r="F186" s="36" t="str">
        <x:v>R0</x:v>
      </x:c>
      <x:c r="G186" s="40"/>
      <x:c r="H186" s="40"/>
      <x:c r="I186" s="36"/>
      <x:c r="J186" s="36"/>
      <x:c r="K186" s="36"/>
      <x:c r="L186" s="44"/>
      <x:c r="M186" s="36" t="str">
        <x:v>MYR</x:v>
      </x:c>
      <x:c r="N186" s="36"/>
      <x:c r="O186" s="36"/>
      <x:c r="P186" s="40"/>
      <x:c r="Q186" s="36" t="str">
        <x:f>IF(P186="","",P186-TODAY())</x:f>
      </x:c>
      <x:c r="R186" s="36" t="str">
        <x:f>IF(E186="","",IF(X186="DUPLICATE","STOP — DUPLICATE",IF(OR(N186="Completed",N186="Cancelled",N186="Rejected",N186="Superseded"),"Closed",IF(P186="","No due date",IF(Q186&lt;0,"OVERDUE",IF(Q186&lt;=7,"DUE SOON","Open"))))))</x:f>
      </x:c>
      <x:c r="S186" s="36"/>
      <x:c r="T186" s="36"/>
      <x:c r="U186" s="36"/>
      <x:c r="V186" s="42"/>
      <x:c r="W186" s="36"/>
      <x:c r="X186" s="36" t="str">
        <x:f>IF(E186="","",IF(COUNTIF($E$7:$E$506,E186)&gt;1,"DUPLICATE","OK"))</x:f>
      </x:c>
    </x:row>
    <x:row r="187">
      <x:c r="A187" s="36" t="str">
        <x:v>NEX</x:v>
      </x:c>
      <x:c r="B187" s="36"/>
      <x:c r="C187" s="38"/>
      <x:c r="D187" s="38"/>
      <x:c r="E187" s="36" t="str">
        <x:f>IF(OR(A187="",B187="",C187="",D187=""),"",A187&amp;"-"&amp;B187&amp;"-"&amp;TEXT(C187,"0000")&amp;"-"&amp;TEXT(D187,"0000"))</x:f>
      </x:c>
      <x:c r="F187" s="36" t="str">
        <x:v>R0</x:v>
      </x:c>
      <x:c r="G187" s="40"/>
      <x:c r="H187" s="40"/>
      <x:c r="I187" s="36"/>
      <x:c r="J187" s="36"/>
      <x:c r="K187" s="36"/>
      <x:c r="L187" s="44"/>
      <x:c r="M187" s="36" t="str">
        <x:v>MYR</x:v>
      </x:c>
      <x:c r="N187" s="36"/>
      <x:c r="O187" s="36"/>
      <x:c r="P187" s="40"/>
      <x:c r="Q187" s="36" t="str">
        <x:f>IF(P187="","",P187-TODAY())</x:f>
      </x:c>
      <x:c r="R187" s="36" t="str">
        <x:f>IF(E187="","",IF(X187="DUPLICATE","STOP — DUPLICATE",IF(OR(N187="Completed",N187="Cancelled",N187="Rejected",N187="Superseded"),"Closed",IF(P187="","No due date",IF(Q187&lt;0,"OVERDUE",IF(Q187&lt;=7,"DUE SOON","Open"))))))</x:f>
      </x:c>
      <x:c r="S187" s="36"/>
      <x:c r="T187" s="36"/>
      <x:c r="U187" s="36"/>
      <x:c r="V187" s="42"/>
      <x:c r="W187" s="36"/>
      <x:c r="X187" s="36" t="str">
        <x:f>IF(E187="","",IF(COUNTIF($E$7:$E$506,E187)&gt;1,"DUPLICATE","OK"))</x:f>
      </x:c>
    </x:row>
    <x:row r="188">
      <x:c r="A188" s="36" t="str">
        <x:v>NEX</x:v>
      </x:c>
      <x:c r="B188" s="36"/>
      <x:c r="C188" s="38"/>
      <x:c r="D188" s="38"/>
      <x:c r="E188" s="36" t="str">
        <x:f>IF(OR(A188="",B188="",C188="",D188=""),"",A188&amp;"-"&amp;B188&amp;"-"&amp;TEXT(C188,"0000")&amp;"-"&amp;TEXT(D188,"0000"))</x:f>
      </x:c>
      <x:c r="F188" s="36" t="str">
        <x:v>R0</x:v>
      </x:c>
      <x:c r="G188" s="40"/>
      <x:c r="H188" s="40"/>
      <x:c r="I188" s="36"/>
      <x:c r="J188" s="36"/>
      <x:c r="K188" s="36"/>
      <x:c r="L188" s="44"/>
      <x:c r="M188" s="36" t="str">
        <x:v>MYR</x:v>
      </x:c>
      <x:c r="N188" s="36"/>
      <x:c r="O188" s="36"/>
      <x:c r="P188" s="40"/>
      <x:c r="Q188" s="36" t="str">
        <x:f>IF(P188="","",P188-TODAY())</x:f>
      </x:c>
      <x:c r="R188" s="36" t="str">
        <x:f>IF(E188="","",IF(X188="DUPLICATE","STOP — DUPLICATE",IF(OR(N188="Completed",N188="Cancelled",N188="Rejected",N188="Superseded"),"Closed",IF(P188="","No due date",IF(Q188&lt;0,"OVERDUE",IF(Q188&lt;=7,"DUE SOON","Open"))))))</x:f>
      </x:c>
      <x:c r="S188" s="36"/>
      <x:c r="T188" s="36"/>
      <x:c r="U188" s="36"/>
      <x:c r="V188" s="42"/>
      <x:c r="W188" s="36"/>
      <x:c r="X188" s="36" t="str">
        <x:f>IF(E188="","",IF(COUNTIF($E$7:$E$506,E188)&gt;1,"DUPLICATE","OK"))</x:f>
      </x:c>
    </x:row>
    <x:row r="189">
      <x:c r="A189" s="36" t="str">
        <x:v>NEX</x:v>
      </x:c>
      <x:c r="B189" s="36"/>
      <x:c r="C189" s="38"/>
      <x:c r="D189" s="38"/>
      <x:c r="E189" s="36" t="str">
        <x:f>IF(OR(A189="",B189="",C189="",D189=""),"",A189&amp;"-"&amp;B189&amp;"-"&amp;TEXT(C189,"0000")&amp;"-"&amp;TEXT(D189,"0000"))</x:f>
      </x:c>
      <x:c r="F189" s="36" t="str">
        <x:v>R0</x:v>
      </x:c>
      <x:c r="G189" s="40"/>
      <x:c r="H189" s="40"/>
      <x:c r="I189" s="36"/>
      <x:c r="J189" s="36"/>
      <x:c r="K189" s="36"/>
      <x:c r="L189" s="44"/>
      <x:c r="M189" s="36" t="str">
        <x:v>MYR</x:v>
      </x:c>
      <x:c r="N189" s="36"/>
      <x:c r="O189" s="36"/>
      <x:c r="P189" s="40"/>
      <x:c r="Q189" s="36" t="str">
        <x:f>IF(P189="","",P189-TODAY())</x:f>
      </x:c>
      <x:c r="R189" s="36" t="str">
        <x:f>IF(E189="","",IF(X189="DUPLICATE","STOP — DUPLICATE",IF(OR(N189="Completed",N189="Cancelled",N189="Rejected",N189="Superseded"),"Closed",IF(P189="","No due date",IF(Q189&lt;0,"OVERDUE",IF(Q189&lt;=7,"DUE SOON","Open"))))))</x:f>
      </x:c>
      <x:c r="S189" s="36"/>
      <x:c r="T189" s="36"/>
      <x:c r="U189" s="36"/>
      <x:c r="V189" s="42"/>
      <x:c r="W189" s="36"/>
      <x:c r="X189" s="36" t="str">
        <x:f>IF(E189="","",IF(COUNTIF($E$7:$E$506,E189)&gt;1,"DUPLICATE","OK"))</x:f>
      </x:c>
    </x:row>
    <x:row r="190">
      <x:c r="A190" s="36" t="str">
        <x:v>NEX</x:v>
      </x:c>
      <x:c r="B190" s="36"/>
      <x:c r="C190" s="38"/>
      <x:c r="D190" s="38"/>
      <x:c r="E190" s="36" t="str">
        <x:f>IF(OR(A190="",B190="",C190="",D190=""),"",A190&amp;"-"&amp;B190&amp;"-"&amp;TEXT(C190,"0000")&amp;"-"&amp;TEXT(D190,"0000"))</x:f>
      </x:c>
      <x:c r="F190" s="36" t="str">
        <x:v>R0</x:v>
      </x:c>
      <x:c r="G190" s="40"/>
      <x:c r="H190" s="40"/>
      <x:c r="I190" s="36"/>
      <x:c r="J190" s="36"/>
      <x:c r="K190" s="36"/>
      <x:c r="L190" s="44"/>
      <x:c r="M190" s="36" t="str">
        <x:v>MYR</x:v>
      </x:c>
      <x:c r="N190" s="36"/>
      <x:c r="O190" s="36"/>
      <x:c r="P190" s="40"/>
      <x:c r="Q190" s="36" t="str">
        <x:f>IF(P190="","",P190-TODAY())</x:f>
      </x:c>
      <x:c r="R190" s="36" t="str">
        <x:f>IF(E190="","",IF(X190="DUPLICATE","STOP — DUPLICATE",IF(OR(N190="Completed",N190="Cancelled",N190="Rejected",N190="Superseded"),"Closed",IF(P190="","No due date",IF(Q190&lt;0,"OVERDUE",IF(Q190&lt;=7,"DUE SOON","Open"))))))</x:f>
      </x:c>
      <x:c r="S190" s="36"/>
      <x:c r="T190" s="36"/>
      <x:c r="U190" s="36"/>
      <x:c r="V190" s="42"/>
      <x:c r="W190" s="36"/>
      <x:c r="X190" s="36" t="str">
        <x:f>IF(E190="","",IF(COUNTIF($E$7:$E$506,E190)&gt;1,"DUPLICATE","OK"))</x:f>
      </x:c>
    </x:row>
    <x:row r="191">
      <x:c r="A191" s="36" t="str">
        <x:v>NEX</x:v>
      </x:c>
      <x:c r="B191" s="36"/>
      <x:c r="C191" s="38"/>
      <x:c r="D191" s="38"/>
      <x:c r="E191" s="36" t="str">
        <x:f>IF(OR(A191="",B191="",C191="",D191=""),"",A191&amp;"-"&amp;B191&amp;"-"&amp;TEXT(C191,"0000")&amp;"-"&amp;TEXT(D191,"0000"))</x:f>
      </x:c>
      <x:c r="F191" s="36" t="str">
        <x:v>R0</x:v>
      </x:c>
      <x:c r="G191" s="40"/>
      <x:c r="H191" s="40"/>
      <x:c r="I191" s="36"/>
      <x:c r="J191" s="36"/>
      <x:c r="K191" s="36"/>
      <x:c r="L191" s="44"/>
      <x:c r="M191" s="36" t="str">
        <x:v>MYR</x:v>
      </x:c>
      <x:c r="N191" s="36"/>
      <x:c r="O191" s="36"/>
      <x:c r="P191" s="40"/>
      <x:c r="Q191" s="36" t="str">
        <x:f>IF(P191="","",P191-TODAY())</x:f>
      </x:c>
      <x:c r="R191" s="36" t="str">
        <x:f>IF(E191="","",IF(X191="DUPLICATE","STOP — DUPLICATE",IF(OR(N191="Completed",N191="Cancelled",N191="Rejected",N191="Superseded"),"Closed",IF(P191="","No due date",IF(Q191&lt;0,"OVERDUE",IF(Q191&lt;=7,"DUE SOON","Open"))))))</x:f>
      </x:c>
      <x:c r="S191" s="36"/>
      <x:c r="T191" s="36"/>
      <x:c r="U191" s="36"/>
      <x:c r="V191" s="42"/>
      <x:c r="W191" s="36"/>
      <x:c r="X191" s="36" t="str">
        <x:f>IF(E191="","",IF(COUNTIF($E$7:$E$506,E191)&gt;1,"DUPLICATE","OK"))</x:f>
      </x:c>
    </x:row>
    <x:row r="192">
      <x:c r="A192" s="36" t="str">
        <x:v>NEX</x:v>
      </x:c>
      <x:c r="B192" s="36"/>
      <x:c r="C192" s="38"/>
      <x:c r="D192" s="38"/>
      <x:c r="E192" s="36" t="str">
        <x:f>IF(OR(A192="",B192="",C192="",D192=""),"",A192&amp;"-"&amp;B192&amp;"-"&amp;TEXT(C192,"0000")&amp;"-"&amp;TEXT(D192,"0000"))</x:f>
      </x:c>
      <x:c r="F192" s="36" t="str">
        <x:v>R0</x:v>
      </x:c>
      <x:c r="G192" s="40"/>
      <x:c r="H192" s="40"/>
      <x:c r="I192" s="36"/>
      <x:c r="J192" s="36"/>
      <x:c r="K192" s="36"/>
      <x:c r="L192" s="44"/>
      <x:c r="M192" s="36" t="str">
        <x:v>MYR</x:v>
      </x:c>
      <x:c r="N192" s="36"/>
      <x:c r="O192" s="36"/>
      <x:c r="P192" s="40"/>
      <x:c r="Q192" s="36" t="str">
        <x:f>IF(P192="","",P192-TODAY())</x:f>
      </x:c>
      <x:c r="R192" s="36" t="str">
        <x:f>IF(E192="","",IF(X192="DUPLICATE","STOP — DUPLICATE",IF(OR(N192="Completed",N192="Cancelled",N192="Rejected",N192="Superseded"),"Closed",IF(P192="","No due date",IF(Q192&lt;0,"OVERDUE",IF(Q192&lt;=7,"DUE SOON","Open"))))))</x:f>
      </x:c>
      <x:c r="S192" s="36"/>
      <x:c r="T192" s="36"/>
      <x:c r="U192" s="36"/>
      <x:c r="V192" s="42"/>
      <x:c r="W192" s="36"/>
      <x:c r="X192" s="36" t="str">
        <x:f>IF(E192="","",IF(COUNTIF($E$7:$E$506,E192)&gt;1,"DUPLICATE","OK"))</x:f>
      </x:c>
    </x:row>
    <x:row r="193">
      <x:c r="A193" s="36" t="str">
        <x:v>NEX</x:v>
      </x:c>
      <x:c r="B193" s="36"/>
      <x:c r="C193" s="38"/>
      <x:c r="D193" s="38"/>
      <x:c r="E193" s="36" t="str">
        <x:f>IF(OR(A193="",B193="",C193="",D193=""),"",A193&amp;"-"&amp;B193&amp;"-"&amp;TEXT(C193,"0000")&amp;"-"&amp;TEXT(D193,"0000"))</x:f>
      </x:c>
      <x:c r="F193" s="36" t="str">
        <x:v>R0</x:v>
      </x:c>
      <x:c r="G193" s="40"/>
      <x:c r="H193" s="40"/>
      <x:c r="I193" s="36"/>
      <x:c r="J193" s="36"/>
      <x:c r="K193" s="36"/>
      <x:c r="L193" s="44"/>
      <x:c r="M193" s="36" t="str">
        <x:v>MYR</x:v>
      </x:c>
      <x:c r="N193" s="36"/>
      <x:c r="O193" s="36"/>
      <x:c r="P193" s="40"/>
      <x:c r="Q193" s="36" t="str">
        <x:f>IF(P193="","",P193-TODAY())</x:f>
      </x:c>
      <x:c r="R193" s="36" t="str">
        <x:f>IF(E193="","",IF(X193="DUPLICATE","STOP — DUPLICATE",IF(OR(N193="Completed",N193="Cancelled",N193="Rejected",N193="Superseded"),"Closed",IF(P193="","No due date",IF(Q193&lt;0,"OVERDUE",IF(Q193&lt;=7,"DUE SOON","Open"))))))</x:f>
      </x:c>
      <x:c r="S193" s="36"/>
      <x:c r="T193" s="36"/>
      <x:c r="U193" s="36"/>
      <x:c r="V193" s="42"/>
      <x:c r="W193" s="36"/>
      <x:c r="X193" s="36" t="str">
        <x:f>IF(E193="","",IF(COUNTIF($E$7:$E$506,E193)&gt;1,"DUPLICATE","OK"))</x:f>
      </x:c>
    </x:row>
    <x:row r="194">
      <x:c r="A194" s="36" t="str">
        <x:v>NEX</x:v>
      </x:c>
      <x:c r="B194" s="36"/>
      <x:c r="C194" s="38"/>
      <x:c r="D194" s="38"/>
      <x:c r="E194" s="36" t="str">
        <x:f>IF(OR(A194="",B194="",C194="",D194=""),"",A194&amp;"-"&amp;B194&amp;"-"&amp;TEXT(C194,"0000")&amp;"-"&amp;TEXT(D194,"0000"))</x:f>
      </x:c>
      <x:c r="F194" s="36" t="str">
        <x:v>R0</x:v>
      </x:c>
      <x:c r="G194" s="40"/>
      <x:c r="H194" s="40"/>
      <x:c r="I194" s="36"/>
      <x:c r="J194" s="36"/>
      <x:c r="K194" s="36"/>
      <x:c r="L194" s="44"/>
      <x:c r="M194" s="36" t="str">
        <x:v>MYR</x:v>
      </x:c>
      <x:c r="N194" s="36"/>
      <x:c r="O194" s="36"/>
      <x:c r="P194" s="40"/>
      <x:c r="Q194" s="36" t="str">
        <x:f>IF(P194="","",P194-TODAY())</x:f>
      </x:c>
      <x:c r="R194" s="36" t="str">
        <x:f>IF(E194="","",IF(X194="DUPLICATE","STOP — DUPLICATE",IF(OR(N194="Completed",N194="Cancelled",N194="Rejected",N194="Superseded"),"Closed",IF(P194="","No due date",IF(Q194&lt;0,"OVERDUE",IF(Q194&lt;=7,"DUE SOON","Open"))))))</x:f>
      </x:c>
      <x:c r="S194" s="36"/>
      <x:c r="T194" s="36"/>
      <x:c r="U194" s="36"/>
      <x:c r="V194" s="42"/>
      <x:c r="W194" s="36"/>
      <x:c r="X194" s="36" t="str">
        <x:f>IF(E194="","",IF(COUNTIF($E$7:$E$506,E194)&gt;1,"DUPLICATE","OK"))</x:f>
      </x:c>
    </x:row>
    <x:row r="195">
      <x:c r="A195" s="36" t="str">
        <x:v>NEX</x:v>
      </x:c>
      <x:c r="B195" s="36"/>
      <x:c r="C195" s="38"/>
      <x:c r="D195" s="38"/>
      <x:c r="E195" s="36" t="str">
        <x:f>IF(OR(A195="",B195="",C195="",D195=""),"",A195&amp;"-"&amp;B195&amp;"-"&amp;TEXT(C195,"0000")&amp;"-"&amp;TEXT(D195,"0000"))</x:f>
      </x:c>
      <x:c r="F195" s="36" t="str">
        <x:v>R0</x:v>
      </x:c>
      <x:c r="G195" s="40"/>
      <x:c r="H195" s="40"/>
      <x:c r="I195" s="36"/>
      <x:c r="J195" s="36"/>
      <x:c r="K195" s="36"/>
      <x:c r="L195" s="44"/>
      <x:c r="M195" s="36" t="str">
        <x:v>MYR</x:v>
      </x:c>
      <x:c r="N195" s="36"/>
      <x:c r="O195" s="36"/>
      <x:c r="P195" s="40"/>
      <x:c r="Q195" s="36" t="str">
        <x:f>IF(P195="","",P195-TODAY())</x:f>
      </x:c>
      <x:c r="R195" s="36" t="str">
        <x:f>IF(E195="","",IF(X195="DUPLICATE","STOP — DUPLICATE",IF(OR(N195="Completed",N195="Cancelled",N195="Rejected",N195="Superseded"),"Closed",IF(P195="","No due date",IF(Q195&lt;0,"OVERDUE",IF(Q195&lt;=7,"DUE SOON","Open"))))))</x:f>
      </x:c>
      <x:c r="S195" s="36"/>
      <x:c r="T195" s="36"/>
      <x:c r="U195" s="36"/>
      <x:c r="V195" s="42"/>
      <x:c r="W195" s="36"/>
      <x:c r="X195" s="36" t="str">
        <x:f>IF(E195="","",IF(COUNTIF($E$7:$E$506,E195)&gt;1,"DUPLICATE","OK"))</x:f>
      </x:c>
    </x:row>
    <x:row r="196">
      <x:c r="A196" s="36" t="str">
        <x:v>NEX</x:v>
      </x:c>
      <x:c r="B196" s="36"/>
      <x:c r="C196" s="38"/>
      <x:c r="D196" s="38"/>
      <x:c r="E196" s="36" t="str">
        <x:f>IF(OR(A196="",B196="",C196="",D196=""),"",A196&amp;"-"&amp;B196&amp;"-"&amp;TEXT(C196,"0000")&amp;"-"&amp;TEXT(D196,"0000"))</x:f>
      </x:c>
      <x:c r="F196" s="36" t="str">
        <x:v>R0</x:v>
      </x:c>
      <x:c r="G196" s="40"/>
      <x:c r="H196" s="40"/>
      <x:c r="I196" s="36"/>
      <x:c r="J196" s="36"/>
      <x:c r="K196" s="36"/>
      <x:c r="L196" s="44"/>
      <x:c r="M196" s="36" t="str">
        <x:v>MYR</x:v>
      </x:c>
      <x:c r="N196" s="36"/>
      <x:c r="O196" s="36"/>
      <x:c r="P196" s="40"/>
      <x:c r="Q196" s="36" t="str">
        <x:f>IF(P196="","",P196-TODAY())</x:f>
      </x:c>
      <x:c r="R196" s="36" t="str">
        <x:f>IF(E196="","",IF(X196="DUPLICATE","STOP — DUPLICATE",IF(OR(N196="Completed",N196="Cancelled",N196="Rejected",N196="Superseded"),"Closed",IF(P196="","No due date",IF(Q196&lt;0,"OVERDUE",IF(Q196&lt;=7,"DUE SOON","Open"))))))</x:f>
      </x:c>
      <x:c r="S196" s="36"/>
      <x:c r="T196" s="36"/>
      <x:c r="U196" s="36"/>
      <x:c r="V196" s="42"/>
      <x:c r="W196" s="36"/>
      <x:c r="X196" s="36" t="str">
        <x:f>IF(E196="","",IF(COUNTIF($E$7:$E$506,E196)&gt;1,"DUPLICATE","OK"))</x:f>
      </x:c>
    </x:row>
    <x:row r="197">
      <x:c r="A197" s="36" t="str">
        <x:v>NEX</x:v>
      </x:c>
      <x:c r="B197" s="36"/>
      <x:c r="C197" s="38"/>
      <x:c r="D197" s="38"/>
      <x:c r="E197" s="36" t="str">
        <x:f>IF(OR(A197="",B197="",C197="",D197=""),"",A197&amp;"-"&amp;B197&amp;"-"&amp;TEXT(C197,"0000")&amp;"-"&amp;TEXT(D197,"0000"))</x:f>
      </x:c>
      <x:c r="F197" s="36" t="str">
        <x:v>R0</x:v>
      </x:c>
      <x:c r="G197" s="40"/>
      <x:c r="H197" s="40"/>
      <x:c r="I197" s="36"/>
      <x:c r="J197" s="36"/>
      <x:c r="K197" s="36"/>
      <x:c r="L197" s="44"/>
      <x:c r="M197" s="36" t="str">
        <x:v>MYR</x:v>
      </x:c>
      <x:c r="N197" s="36"/>
      <x:c r="O197" s="36"/>
      <x:c r="P197" s="40"/>
      <x:c r="Q197" s="36" t="str">
        <x:f>IF(P197="","",P197-TODAY())</x:f>
      </x:c>
      <x:c r="R197" s="36" t="str">
        <x:f>IF(E197="","",IF(X197="DUPLICATE","STOP — DUPLICATE",IF(OR(N197="Completed",N197="Cancelled",N197="Rejected",N197="Superseded"),"Closed",IF(P197="","No due date",IF(Q197&lt;0,"OVERDUE",IF(Q197&lt;=7,"DUE SOON","Open"))))))</x:f>
      </x:c>
      <x:c r="S197" s="36"/>
      <x:c r="T197" s="36"/>
      <x:c r="U197" s="36"/>
      <x:c r="V197" s="42"/>
      <x:c r="W197" s="36"/>
      <x:c r="X197" s="36" t="str">
        <x:f>IF(E197="","",IF(COUNTIF($E$7:$E$506,E197)&gt;1,"DUPLICATE","OK"))</x:f>
      </x:c>
    </x:row>
    <x:row r="198">
      <x:c r="A198" s="36" t="str">
        <x:v>NEX</x:v>
      </x:c>
      <x:c r="B198" s="36"/>
      <x:c r="C198" s="38"/>
      <x:c r="D198" s="38"/>
      <x:c r="E198" s="36" t="str">
        <x:f>IF(OR(A198="",B198="",C198="",D198=""),"",A198&amp;"-"&amp;B198&amp;"-"&amp;TEXT(C198,"0000")&amp;"-"&amp;TEXT(D198,"0000"))</x:f>
      </x:c>
      <x:c r="F198" s="36" t="str">
        <x:v>R0</x:v>
      </x:c>
      <x:c r="G198" s="40"/>
      <x:c r="H198" s="40"/>
      <x:c r="I198" s="36"/>
      <x:c r="J198" s="36"/>
      <x:c r="K198" s="36"/>
      <x:c r="L198" s="44"/>
      <x:c r="M198" s="36" t="str">
        <x:v>MYR</x:v>
      </x:c>
      <x:c r="N198" s="36"/>
      <x:c r="O198" s="36"/>
      <x:c r="P198" s="40"/>
      <x:c r="Q198" s="36" t="str">
        <x:f>IF(P198="","",P198-TODAY())</x:f>
      </x:c>
      <x:c r="R198" s="36" t="str">
        <x:f>IF(E198="","",IF(X198="DUPLICATE","STOP — DUPLICATE",IF(OR(N198="Completed",N198="Cancelled",N198="Rejected",N198="Superseded"),"Closed",IF(P198="","No due date",IF(Q198&lt;0,"OVERDUE",IF(Q198&lt;=7,"DUE SOON","Open"))))))</x:f>
      </x:c>
      <x:c r="S198" s="36"/>
      <x:c r="T198" s="36"/>
      <x:c r="U198" s="36"/>
      <x:c r="V198" s="42"/>
      <x:c r="W198" s="36"/>
      <x:c r="X198" s="36" t="str">
        <x:f>IF(E198="","",IF(COUNTIF($E$7:$E$506,E198)&gt;1,"DUPLICATE","OK"))</x:f>
      </x:c>
    </x:row>
    <x:row r="199">
      <x:c r="A199" s="36" t="str">
        <x:v>NEX</x:v>
      </x:c>
      <x:c r="B199" s="36"/>
      <x:c r="C199" s="38"/>
      <x:c r="D199" s="38"/>
      <x:c r="E199" s="36" t="str">
        <x:f>IF(OR(A199="",B199="",C199="",D199=""),"",A199&amp;"-"&amp;B199&amp;"-"&amp;TEXT(C199,"0000")&amp;"-"&amp;TEXT(D199,"0000"))</x:f>
      </x:c>
      <x:c r="F199" s="36" t="str">
        <x:v>R0</x:v>
      </x:c>
      <x:c r="G199" s="40"/>
      <x:c r="H199" s="40"/>
      <x:c r="I199" s="36"/>
      <x:c r="J199" s="36"/>
      <x:c r="K199" s="36"/>
      <x:c r="L199" s="44"/>
      <x:c r="M199" s="36" t="str">
        <x:v>MYR</x:v>
      </x:c>
      <x:c r="N199" s="36"/>
      <x:c r="O199" s="36"/>
      <x:c r="P199" s="40"/>
      <x:c r="Q199" s="36" t="str">
        <x:f>IF(P199="","",P199-TODAY())</x:f>
      </x:c>
      <x:c r="R199" s="36" t="str">
        <x:f>IF(E199="","",IF(X199="DUPLICATE","STOP — DUPLICATE",IF(OR(N199="Completed",N199="Cancelled",N199="Rejected",N199="Superseded"),"Closed",IF(P199="","No due date",IF(Q199&lt;0,"OVERDUE",IF(Q199&lt;=7,"DUE SOON","Open"))))))</x:f>
      </x:c>
      <x:c r="S199" s="36"/>
      <x:c r="T199" s="36"/>
      <x:c r="U199" s="36"/>
      <x:c r="V199" s="42"/>
      <x:c r="W199" s="36"/>
      <x:c r="X199" s="36" t="str">
        <x:f>IF(E199="","",IF(COUNTIF($E$7:$E$506,E199)&gt;1,"DUPLICATE","OK"))</x:f>
      </x:c>
    </x:row>
    <x:row r="200">
      <x:c r="A200" s="36" t="str">
        <x:v>NEX</x:v>
      </x:c>
      <x:c r="B200" s="36"/>
      <x:c r="C200" s="38"/>
      <x:c r="D200" s="38"/>
      <x:c r="E200" s="36" t="str">
        <x:f>IF(OR(A200="",B200="",C200="",D200=""),"",A200&amp;"-"&amp;B200&amp;"-"&amp;TEXT(C200,"0000")&amp;"-"&amp;TEXT(D200,"0000"))</x:f>
      </x:c>
      <x:c r="F200" s="36" t="str">
        <x:v>R0</x:v>
      </x:c>
      <x:c r="G200" s="40"/>
      <x:c r="H200" s="40"/>
      <x:c r="I200" s="36"/>
      <x:c r="J200" s="36"/>
      <x:c r="K200" s="36"/>
      <x:c r="L200" s="44"/>
      <x:c r="M200" s="36" t="str">
        <x:v>MYR</x:v>
      </x:c>
      <x:c r="N200" s="36"/>
      <x:c r="O200" s="36"/>
      <x:c r="P200" s="40"/>
      <x:c r="Q200" s="36" t="str">
        <x:f>IF(P200="","",P200-TODAY())</x:f>
      </x:c>
      <x:c r="R200" s="36" t="str">
        <x:f>IF(E200="","",IF(X200="DUPLICATE","STOP — DUPLICATE",IF(OR(N200="Completed",N200="Cancelled",N200="Rejected",N200="Superseded"),"Closed",IF(P200="","No due date",IF(Q200&lt;0,"OVERDUE",IF(Q200&lt;=7,"DUE SOON","Open"))))))</x:f>
      </x:c>
      <x:c r="S200" s="36"/>
      <x:c r="T200" s="36"/>
      <x:c r="U200" s="36"/>
      <x:c r="V200" s="42"/>
      <x:c r="W200" s="36"/>
      <x:c r="X200" s="36" t="str">
        <x:f>IF(E200="","",IF(COUNTIF($E$7:$E$506,E200)&gt;1,"DUPLICATE","OK"))</x:f>
      </x:c>
    </x:row>
    <x:row r="201">
      <x:c r="A201" s="36" t="str">
        <x:v>NEX</x:v>
      </x:c>
      <x:c r="B201" s="36"/>
      <x:c r="C201" s="38"/>
      <x:c r="D201" s="38"/>
      <x:c r="E201" s="36" t="str">
        <x:f>IF(OR(A201="",B201="",C201="",D201=""),"",A201&amp;"-"&amp;B201&amp;"-"&amp;TEXT(C201,"0000")&amp;"-"&amp;TEXT(D201,"0000"))</x:f>
      </x:c>
      <x:c r="F201" s="36" t="str">
        <x:v>R0</x:v>
      </x:c>
      <x:c r="G201" s="40"/>
      <x:c r="H201" s="40"/>
      <x:c r="I201" s="36"/>
      <x:c r="J201" s="36"/>
      <x:c r="K201" s="36"/>
      <x:c r="L201" s="44"/>
      <x:c r="M201" s="36" t="str">
        <x:v>MYR</x:v>
      </x:c>
      <x:c r="N201" s="36"/>
      <x:c r="O201" s="36"/>
      <x:c r="P201" s="40"/>
      <x:c r="Q201" s="36" t="str">
        <x:f>IF(P201="","",P201-TODAY())</x:f>
      </x:c>
      <x:c r="R201" s="36" t="str">
        <x:f>IF(E201="","",IF(X201="DUPLICATE","STOP — DUPLICATE",IF(OR(N201="Completed",N201="Cancelled",N201="Rejected",N201="Superseded"),"Closed",IF(P201="","No due date",IF(Q201&lt;0,"OVERDUE",IF(Q201&lt;=7,"DUE SOON","Open"))))))</x:f>
      </x:c>
      <x:c r="S201" s="36"/>
      <x:c r="T201" s="36"/>
      <x:c r="U201" s="36"/>
      <x:c r="V201" s="42"/>
      <x:c r="W201" s="36"/>
      <x:c r="X201" s="36" t="str">
        <x:f>IF(E201="","",IF(COUNTIF($E$7:$E$506,E201)&gt;1,"DUPLICATE","OK"))</x:f>
      </x:c>
    </x:row>
    <x:row r="202">
      <x:c r="A202" s="36" t="str">
        <x:v>NEX</x:v>
      </x:c>
      <x:c r="B202" s="36"/>
      <x:c r="C202" s="38"/>
      <x:c r="D202" s="38"/>
      <x:c r="E202" s="36" t="str">
        <x:f>IF(OR(A202="",B202="",C202="",D202=""),"",A202&amp;"-"&amp;B202&amp;"-"&amp;TEXT(C202,"0000")&amp;"-"&amp;TEXT(D202,"0000"))</x:f>
      </x:c>
      <x:c r="F202" s="36" t="str">
        <x:v>R0</x:v>
      </x:c>
      <x:c r="G202" s="40"/>
      <x:c r="H202" s="40"/>
      <x:c r="I202" s="36"/>
      <x:c r="J202" s="36"/>
      <x:c r="K202" s="36"/>
      <x:c r="L202" s="44"/>
      <x:c r="M202" s="36" t="str">
        <x:v>MYR</x:v>
      </x:c>
      <x:c r="N202" s="36"/>
      <x:c r="O202" s="36"/>
      <x:c r="P202" s="40"/>
      <x:c r="Q202" s="36" t="str">
        <x:f>IF(P202="","",P202-TODAY())</x:f>
      </x:c>
      <x:c r="R202" s="36" t="str">
        <x:f>IF(E202="","",IF(X202="DUPLICATE","STOP — DUPLICATE",IF(OR(N202="Completed",N202="Cancelled",N202="Rejected",N202="Superseded"),"Closed",IF(P202="","No due date",IF(Q202&lt;0,"OVERDUE",IF(Q202&lt;=7,"DUE SOON","Open"))))))</x:f>
      </x:c>
      <x:c r="S202" s="36"/>
      <x:c r="T202" s="36"/>
      <x:c r="U202" s="36"/>
      <x:c r="V202" s="42"/>
      <x:c r="W202" s="36"/>
      <x:c r="X202" s="36" t="str">
        <x:f>IF(E202="","",IF(COUNTIF($E$7:$E$506,E202)&gt;1,"DUPLICATE","OK"))</x:f>
      </x:c>
    </x:row>
    <x:row r="203">
      <x:c r="A203" s="36" t="str">
        <x:v>NEX</x:v>
      </x:c>
      <x:c r="B203" s="36"/>
      <x:c r="C203" s="38"/>
      <x:c r="D203" s="38"/>
      <x:c r="E203" s="36" t="str">
        <x:f>IF(OR(A203="",B203="",C203="",D203=""),"",A203&amp;"-"&amp;B203&amp;"-"&amp;TEXT(C203,"0000")&amp;"-"&amp;TEXT(D203,"0000"))</x:f>
      </x:c>
      <x:c r="F203" s="36" t="str">
        <x:v>R0</x:v>
      </x:c>
      <x:c r="G203" s="40"/>
      <x:c r="H203" s="40"/>
      <x:c r="I203" s="36"/>
      <x:c r="J203" s="36"/>
      <x:c r="K203" s="36"/>
      <x:c r="L203" s="44"/>
      <x:c r="M203" s="36" t="str">
        <x:v>MYR</x:v>
      </x:c>
      <x:c r="N203" s="36"/>
      <x:c r="O203" s="36"/>
      <x:c r="P203" s="40"/>
      <x:c r="Q203" s="36" t="str">
        <x:f>IF(P203="","",P203-TODAY())</x:f>
      </x:c>
      <x:c r="R203" s="36" t="str">
        <x:f>IF(E203="","",IF(X203="DUPLICATE","STOP — DUPLICATE",IF(OR(N203="Completed",N203="Cancelled",N203="Rejected",N203="Superseded"),"Closed",IF(P203="","No due date",IF(Q203&lt;0,"OVERDUE",IF(Q203&lt;=7,"DUE SOON","Open"))))))</x:f>
      </x:c>
      <x:c r="S203" s="36"/>
      <x:c r="T203" s="36"/>
      <x:c r="U203" s="36"/>
      <x:c r="V203" s="42"/>
      <x:c r="W203" s="36"/>
      <x:c r="X203" s="36" t="str">
        <x:f>IF(E203="","",IF(COUNTIF($E$7:$E$506,E203)&gt;1,"DUPLICATE","OK"))</x:f>
      </x:c>
    </x:row>
    <x:row r="204">
      <x:c r="A204" s="36" t="str">
        <x:v>NEX</x:v>
      </x:c>
      <x:c r="B204" s="36"/>
      <x:c r="C204" s="38"/>
      <x:c r="D204" s="38"/>
      <x:c r="E204" s="36" t="str">
        <x:f>IF(OR(A204="",B204="",C204="",D204=""),"",A204&amp;"-"&amp;B204&amp;"-"&amp;TEXT(C204,"0000")&amp;"-"&amp;TEXT(D204,"0000"))</x:f>
      </x:c>
      <x:c r="F204" s="36" t="str">
        <x:v>R0</x:v>
      </x:c>
      <x:c r="G204" s="40"/>
      <x:c r="H204" s="40"/>
      <x:c r="I204" s="36"/>
      <x:c r="J204" s="36"/>
      <x:c r="K204" s="36"/>
      <x:c r="L204" s="44"/>
      <x:c r="M204" s="36" t="str">
        <x:v>MYR</x:v>
      </x:c>
      <x:c r="N204" s="36"/>
      <x:c r="O204" s="36"/>
      <x:c r="P204" s="40"/>
      <x:c r="Q204" s="36" t="str">
        <x:f>IF(P204="","",P204-TODAY())</x:f>
      </x:c>
      <x:c r="R204" s="36" t="str">
        <x:f>IF(E204="","",IF(X204="DUPLICATE","STOP — DUPLICATE",IF(OR(N204="Completed",N204="Cancelled",N204="Rejected",N204="Superseded"),"Closed",IF(P204="","No due date",IF(Q204&lt;0,"OVERDUE",IF(Q204&lt;=7,"DUE SOON","Open"))))))</x:f>
      </x:c>
      <x:c r="S204" s="36"/>
      <x:c r="T204" s="36"/>
      <x:c r="U204" s="36"/>
      <x:c r="V204" s="42"/>
      <x:c r="W204" s="36"/>
      <x:c r="X204" s="36" t="str">
        <x:f>IF(E204="","",IF(COUNTIF($E$7:$E$506,E204)&gt;1,"DUPLICATE","OK"))</x:f>
      </x:c>
    </x:row>
    <x:row r="205">
      <x:c r="A205" s="36" t="str">
        <x:v>NEX</x:v>
      </x:c>
      <x:c r="B205" s="36"/>
      <x:c r="C205" s="38"/>
      <x:c r="D205" s="38"/>
      <x:c r="E205" s="36" t="str">
        <x:f>IF(OR(A205="",B205="",C205="",D205=""),"",A205&amp;"-"&amp;B205&amp;"-"&amp;TEXT(C205,"0000")&amp;"-"&amp;TEXT(D205,"0000"))</x:f>
      </x:c>
      <x:c r="F205" s="36" t="str">
        <x:v>R0</x:v>
      </x:c>
      <x:c r="G205" s="40"/>
      <x:c r="H205" s="40"/>
      <x:c r="I205" s="36"/>
      <x:c r="J205" s="36"/>
      <x:c r="K205" s="36"/>
      <x:c r="L205" s="44"/>
      <x:c r="M205" s="36" t="str">
        <x:v>MYR</x:v>
      </x:c>
      <x:c r="N205" s="36"/>
      <x:c r="O205" s="36"/>
      <x:c r="P205" s="40"/>
      <x:c r="Q205" s="36" t="str">
        <x:f>IF(P205="","",P205-TODAY())</x:f>
      </x:c>
      <x:c r="R205" s="36" t="str">
        <x:f>IF(E205="","",IF(X205="DUPLICATE","STOP — DUPLICATE",IF(OR(N205="Completed",N205="Cancelled",N205="Rejected",N205="Superseded"),"Closed",IF(P205="","No due date",IF(Q205&lt;0,"OVERDUE",IF(Q205&lt;=7,"DUE SOON","Open"))))))</x:f>
      </x:c>
      <x:c r="S205" s="36"/>
      <x:c r="T205" s="36"/>
      <x:c r="U205" s="36"/>
      <x:c r="V205" s="42"/>
      <x:c r="W205" s="36"/>
      <x:c r="X205" s="36" t="str">
        <x:f>IF(E205="","",IF(COUNTIF($E$7:$E$506,E205)&gt;1,"DUPLICATE","OK"))</x:f>
      </x:c>
    </x:row>
    <x:row r="206">
      <x:c r="A206" s="36" t="str">
        <x:v>NEX</x:v>
      </x:c>
      <x:c r="B206" s="36"/>
      <x:c r="C206" s="38"/>
      <x:c r="D206" s="38"/>
      <x:c r="E206" s="36" t="str">
        <x:f>IF(OR(A206="",B206="",C206="",D206=""),"",A206&amp;"-"&amp;B206&amp;"-"&amp;TEXT(C206,"0000")&amp;"-"&amp;TEXT(D206,"0000"))</x:f>
      </x:c>
      <x:c r="F206" s="36" t="str">
        <x:v>R0</x:v>
      </x:c>
      <x:c r="G206" s="40"/>
      <x:c r="H206" s="40"/>
      <x:c r="I206" s="36"/>
      <x:c r="J206" s="36"/>
      <x:c r="K206" s="36"/>
      <x:c r="L206" s="44"/>
      <x:c r="M206" s="36" t="str">
        <x:v>MYR</x:v>
      </x:c>
      <x:c r="N206" s="36"/>
      <x:c r="O206" s="36"/>
      <x:c r="P206" s="40"/>
      <x:c r="Q206" s="36" t="str">
        <x:f>IF(P206="","",P206-TODAY())</x:f>
      </x:c>
      <x:c r="R206" s="36" t="str">
        <x:f>IF(E206="","",IF(X206="DUPLICATE","STOP — DUPLICATE",IF(OR(N206="Completed",N206="Cancelled",N206="Rejected",N206="Superseded"),"Closed",IF(P206="","No due date",IF(Q206&lt;0,"OVERDUE",IF(Q206&lt;=7,"DUE SOON","Open"))))))</x:f>
      </x:c>
      <x:c r="S206" s="36"/>
      <x:c r="T206" s="36"/>
      <x:c r="U206" s="36"/>
      <x:c r="V206" s="42"/>
      <x:c r="W206" s="36"/>
      <x:c r="X206" s="36" t="str">
        <x:f>IF(E206="","",IF(COUNTIF($E$7:$E$506,E206)&gt;1,"DUPLICATE","OK"))</x:f>
      </x:c>
    </x:row>
    <x:row r="207">
      <x:c r="A207" s="36" t="str">
        <x:v>NEX</x:v>
      </x:c>
      <x:c r="B207" s="36"/>
      <x:c r="C207" s="38"/>
      <x:c r="D207" s="38"/>
      <x:c r="E207" s="36" t="str">
        <x:f>IF(OR(A207="",B207="",C207="",D207=""),"",A207&amp;"-"&amp;B207&amp;"-"&amp;TEXT(C207,"0000")&amp;"-"&amp;TEXT(D207,"0000"))</x:f>
      </x:c>
      <x:c r="F207" s="36" t="str">
        <x:v>R0</x:v>
      </x:c>
      <x:c r="G207" s="40"/>
      <x:c r="H207" s="40"/>
      <x:c r="I207" s="36"/>
      <x:c r="J207" s="36"/>
      <x:c r="K207" s="36"/>
      <x:c r="L207" s="44"/>
      <x:c r="M207" s="36" t="str">
        <x:v>MYR</x:v>
      </x:c>
      <x:c r="N207" s="36"/>
      <x:c r="O207" s="36"/>
      <x:c r="P207" s="40"/>
      <x:c r="Q207" s="36" t="str">
        <x:f>IF(P207="","",P207-TODAY())</x:f>
      </x:c>
      <x:c r="R207" s="36" t="str">
        <x:f>IF(E207="","",IF(X207="DUPLICATE","STOP — DUPLICATE",IF(OR(N207="Completed",N207="Cancelled",N207="Rejected",N207="Superseded"),"Closed",IF(P207="","No due date",IF(Q207&lt;0,"OVERDUE",IF(Q207&lt;=7,"DUE SOON","Open"))))))</x:f>
      </x:c>
      <x:c r="S207" s="36"/>
      <x:c r="T207" s="36"/>
      <x:c r="U207" s="36"/>
      <x:c r="V207" s="42"/>
      <x:c r="W207" s="36"/>
      <x:c r="X207" s="36" t="str">
        <x:f>IF(E207="","",IF(COUNTIF($E$7:$E$506,E207)&gt;1,"DUPLICATE","OK"))</x:f>
      </x:c>
    </x:row>
    <x:row r="208">
      <x:c r="A208" s="36" t="str">
        <x:v>NEX</x:v>
      </x:c>
      <x:c r="B208" s="36"/>
      <x:c r="C208" s="38"/>
      <x:c r="D208" s="38"/>
      <x:c r="E208" s="36" t="str">
        <x:f>IF(OR(A208="",B208="",C208="",D208=""),"",A208&amp;"-"&amp;B208&amp;"-"&amp;TEXT(C208,"0000")&amp;"-"&amp;TEXT(D208,"0000"))</x:f>
      </x:c>
      <x:c r="F208" s="36" t="str">
        <x:v>R0</x:v>
      </x:c>
      <x:c r="G208" s="40"/>
      <x:c r="H208" s="40"/>
      <x:c r="I208" s="36"/>
      <x:c r="J208" s="36"/>
      <x:c r="K208" s="36"/>
      <x:c r="L208" s="44"/>
      <x:c r="M208" s="36" t="str">
        <x:v>MYR</x:v>
      </x:c>
      <x:c r="N208" s="36"/>
      <x:c r="O208" s="36"/>
      <x:c r="P208" s="40"/>
      <x:c r="Q208" s="36" t="str">
        <x:f>IF(P208="","",P208-TODAY())</x:f>
      </x:c>
      <x:c r="R208" s="36" t="str">
        <x:f>IF(E208="","",IF(X208="DUPLICATE","STOP — DUPLICATE",IF(OR(N208="Completed",N208="Cancelled",N208="Rejected",N208="Superseded"),"Closed",IF(P208="","No due date",IF(Q208&lt;0,"OVERDUE",IF(Q208&lt;=7,"DUE SOON","Open"))))))</x:f>
      </x:c>
      <x:c r="S208" s="36"/>
      <x:c r="T208" s="36"/>
      <x:c r="U208" s="36"/>
      <x:c r="V208" s="42"/>
      <x:c r="W208" s="36"/>
      <x:c r="X208" s="36" t="str">
        <x:f>IF(E208="","",IF(COUNTIF($E$7:$E$506,E208)&gt;1,"DUPLICATE","OK"))</x:f>
      </x:c>
    </x:row>
    <x:row r="209">
      <x:c r="A209" s="36" t="str">
        <x:v>NEX</x:v>
      </x:c>
      <x:c r="B209" s="36"/>
      <x:c r="C209" s="38"/>
      <x:c r="D209" s="38"/>
      <x:c r="E209" s="36" t="str">
        <x:f>IF(OR(A209="",B209="",C209="",D209=""),"",A209&amp;"-"&amp;B209&amp;"-"&amp;TEXT(C209,"0000")&amp;"-"&amp;TEXT(D209,"0000"))</x:f>
      </x:c>
      <x:c r="F209" s="36" t="str">
        <x:v>R0</x:v>
      </x:c>
      <x:c r="G209" s="40"/>
      <x:c r="H209" s="40"/>
      <x:c r="I209" s="36"/>
      <x:c r="J209" s="36"/>
      <x:c r="K209" s="36"/>
      <x:c r="L209" s="44"/>
      <x:c r="M209" s="36" t="str">
        <x:v>MYR</x:v>
      </x:c>
      <x:c r="N209" s="36"/>
      <x:c r="O209" s="36"/>
      <x:c r="P209" s="40"/>
      <x:c r="Q209" s="36" t="str">
        <x:f>IF(P209="","",P209-TODAY())</x:f>
      </x:c>
      <x:c r="R209" s="36" t="str">
        <x:f>IF(E209="","",IF(X209="DUPLICATE","STOP — DUPLICATE",IF(OR(N209="Completed",N209="Cancelled",N209="Rejected",N209="Superseded"),"Closed",IF(P209="","No due date",IF(Q209&lt;0,"OVERDUE",IF(Q209&lt;=7,"DUE SOON","Open"))))))</x:f>
      </x:c>
      <x:c r="S209" s="36"/>
      <x:c r="T209" s="36"/>
      <x:c r="U209" s="36"/>
      <x:c r="V209" s="42"/>
      <x:c r="W209" s="36"/>
      <x:c r="X209" s="36" t="str">
        <x:f>IF(E209="","",IF(COUNTIF($E$7:$E$506,E209)&gt;1,"DUPLICATE","OK"))</x:f>
      </x:c>
    </x:row>
    <x:row r="210">
      <x:c r="A210" s="36" t="str">
        <x:v>NEX</x:v>
      </x:c>
      <x:c r="B210" s="36"/>
      <x:c r="C210" s="38"/>
      <x:c r="D210" s="38"/>
      <x:c r="E210" s="36" t="str">
        <x:f>IF(OR(A210="",B210="",C210="",D210=""),"",A210&amp;"-"&amp;B210&amp;"-"&amp;TEXT(C210,"0000")&amp;"-"&amp;TEXT(D210,"0000"))</x:f>
      </x:c>
      <x:c r="F210" s="36" t="str">
        <x:v>R0</x:v>
      </x:c>
      <x:c r="G210" s="40"/>
      <x:c r="H210" s="40"/>
      <x:c r="I210" s="36"/>
      <x:c r="J210" s="36"/>
      <x:c r="K210" s="36"/>
      <x:c r="L210" s="44"/>
      <x:c r="M210" s="36" t="str">
        <x:v>MYR</x:v>
      </x:c>
      <x:c r="N210" s="36"/>
      <x:c r="O210" s="36"/>
      <x:c r="P210" s="40"/>
      <x:c r="Q210" s="36" t="str">
        <x:f>IF(P210="","",P210-TODAY())</x:f>
      </x:c>
      <x:c r="R210" s="36" t="str">
        <x:f>IF(E210="","",IF(X210="DUPLICATE","STOP — DUPLICATE",IF(OR(N210="Completed",N210="Cancelled",N210="Rejected",N210="Superseded"),"Closed",IF(P210="","No due date",IF(Q210&lt;0,"OVERDUE",IF(Q210&lt;=7,"DUE SOON","Open"))))))</x:f>
      </x:c>
      <x:c r="S210" s="36"/>
      <x:c r="T210" s="36"/>
      <x:c r="U210" s="36"/>
      <x:c r="V210" s="42"/>
      <x:c r="W210" s="36"/>
      <x:c r="X210" s="36" t="str">
        <x:f>IF(E210="","",IF(COUNTIF($E$7:$E$506,E210)&gt;1,"DUPLICATE","OK"))</x:f>
      </x:c>
    </x:row>
    <x:row r="211">
      <x:c r="A211" s="36" t="str">
        <x:v>NEX</x:v>
      </x:c>
      <x:c r="B211" s="36"/>
      <x:c r="C211" s="38"/>
      <x:c r="D211" s="38"/>
      <x:c r="E211" s="36" t="str">
        <x:f>IF(OR(A211="",B211="",C211="",D211=""),"",A211&amp;"-"&amp;B211&amp;"-"&amp;TEXT(C211,"0000")&amp;"-"&amp;TEXT(D211,"0000"))</x:f>
      </x:c>
      <x:c r="F211" s="36" t="str">
        <x:v>R0</x:v>
      </x:c>
      <x:c r="G211" s="40"/>
      <x:c r="H211" s="40"/>
      <x:c r="I211" s="36"/>
      <x:c r="J211" s="36"/>
      <x:c r="K211" s="36"/>
      <x:c r="L211" s="44"/>
      <x:c r="M211" s="36" t="str">
        <x:v>MYR</x:v>
      </x:c>
      <x:c r="N211" s="36"/>
      <x:c r="O211" s="36"/>
      <x:c r="P211" s="40"/>
      <x:c r="Q211" s="36" t="str">
        <x:f>IF(P211="","",P211-TODAY())</x:f>
      </x:c>
      <x:c r="R211" s="36" t="str">
        <x:f>IF(E211="","",IF(X211="DUPLICATE","STOP — DUPLICATE",IF(OR(N211="Completed",N211="Cancelled",N211="Rejected",N211="Superseded"),"Closed",IF(P211="","No due date",IF(Q211&lt;0,"OVERDUE",IF(Q211&lt;=7,"DUE SOON","Open"))))))</x:f>
      </x:c>
      <x:c r="S211" s="36"/>
      <x:c r="T211" s="36"/>
      <x:c r="U211" s="36"/>
      <x:c r="V211" s="42"/>
      <x:c r="W211" s="36"/>
      <x:c r="X211" s="36" t="str">
        <x:f>IF(E211="","",IF(COUNTIF($E$7:$E$506,E211)&gt;1,"DUPLICATE","OK"))</x:f>
      </x:c>
    </x:row>
    <x:row r="212">
      <x:c r="A212" s="36" t="str">
        <x:v>NEX</x:v>
      </x:c>
      <x:c r="B212" s="36"/>
      <x:c r="C212" s="38"/>
      <x:c r="D212" s="38"/>
      <x:c r="E212" s="36" t="str">
        <x:f>IF(OR(A212="",B212="",C212="",D212=""),"",A212&amp;"-"&amp;B212&amp;"-"&amp;TEXT(C212,"0000")&amp;"-"&amp;TEXT(D212,"0000"))</x:f>
      </x:c>
      <x:c r="F212" s="36" t="str">
        <x:v>R0</x:v>
      </x:c>
      <x:c r="G212" s="40"/>
      <x:c r="H212" s="40"/>
      <x:c r="I212" s="36"/>
      <x:c r="J212" s="36"/>
      <x:c r="K212" s="36"/>
      <x:c r="L212" s="44"/>
      <x:c r="M212" s="36" t="str">
        <x:v>MYR</x:v>
      </x:c>
      <x:c r="N212" s="36"/>
      <x:c r="O212" s="36"/>
      <x:c r="P212" s="40"/>
      <x:c r="Q212" s="36" t="str">
        <x:f>IF(P212="","",P212-TODAY())</x:f>
      </x:c>
      <x:c r="R212" s="36" t="str">
        <x:f>IF(E212="","",IF(X212="DUPLICATE","STOP — DUPLICATE",IF(OR(N212="Completed",N212="Cancelled",N212="Rejected",N212="Superseded"),"Closed",IF(P212="","No due date",IF(Q212&lt;0,"OVERDUE",IF(Q212&lt;=7,"DUE SOON","Open"))))))</x:f>
      </x:c>
      <x:c r="S212" s="36"/>
      <x:c r="T212" s="36"/>
      <x:c r="U212" s="36"/>
      <x:c r="V212" s="42"/>
      <x:c r="W212" s="36"/>
      <x:c r="X212" s="36" t="str">
        <x:f>IF(E212="","",IF(COUNTIF($E$7:$E$506,E212)&gt;1,"DUPLICATE","OK"))</x:f>
      </x:c>
    </x:row>
    <x:row r="213">
      <x:c r="A213" s="36" t="str">
        <x:v>NEX</x:v>
      </x:c>
      <x:c r="B213" s="36"/>
      <x:c r="C213" s="38"/>
      <x:c r="D213" s="38"/>
      <x:c r="E213" s="36" t="str">
        <x:f>IF(OR(A213="",B213="",C213="",D213=""),"",A213&amp;"-"&amp;B213&amp;"-"&amp;TEXT(C213,"0000")&amp;"-"&amp;TEXT(D213,"0000"))</x:f>
      </x:c>
      <x:c r="F213" s="36" t="str">
        <x:v>R0</x:v>
      </x:c>
      <x:c r="G213" s="40"/>
      <x:c r="H213" s="40"/>
      <x:c r="I213" s="36"/>
      <x:c r="J213" s="36"/>
      <x:c r="K213" s="36"/>
      <x:c r="L213" s="44"/>
      <x:c r="M213" s="36" t="str">
        <x:v>MYR</x:v>
      </x:c>
      <x:c r="N213" s="36"/>
      <x:c r="O213" s="36"/>
      <x:c r="P213" s="40"/>
      <x:c r="Q213" s="36" t="str">
        <x:f>IF(P213="","",P213-TODAY())</x:f>
      </x:c>
      <x:c r="R213" s="36" t="str">
        <x:f>IF(E213="","",IF(X213="DUPLICATE","STOP — DUPLICATE",IF(OR(N213="Completed",N213="Cancelled",N213="Rejected",N213="Superseded"),"Closed",IF(P213="","No due date",IF(Q213&lt;0,"OVERDUE",IF(Q213&lt;=7,"DUE SOON","Open"))))))</x:f>
      </x:c>
      <x:c r="S213" s="36"/>
      <x:c r="T213" s="36"/>
      <x:c r="U213" s="36"/>
      <x:c r="V213" s="42"/>
      <x:c r="W213" s="36"/>
      <x:c r="X213" s="36" t="str">
        <x:f>IF(E213="","",IF(COUNTIF($E$7:$E$506,E213)&gt;1,"DUPLICATE","OK"))</x:f>
      </x:c>
    </x:row>
    <x:row r="214">
      <x:c r="A214" s="36" t="str">
        <x:v>NEX</x:v>
      </x:c>
      <x:c r="B214" s="36"/>
      <x:c r="C214" s="38"/>
      <x:c r="D214" s="38"/>
      <x:c r="E214" s="36" t="str">
        <x:f>IF(OR(A214="",B214="",C214="",D214=""),"",A214&amp;"-"&amp;B214&amp;"-"&amp;TEXT(C214,"0000")&amp;"-"&amp;TEXT(D214,"0000"))</x:f>
      </x:c>
      <x:c r="F214" s="36" t="str">
        <x:v>R0</x:v>
      </x:c>
      <x:c r="G214" s="40"/>
      <x:c r="H214" s="40"/>
      <x:c r="I214" s="36"/>
      <x:c r="J214" s="36"/>
      <x:c r="K214" s="36"/>
      <x:c r="L214" s="44"/>
      <x:c r="M214" s="36" t="str">
        <x:v>MYR</x:v>
      </x:c>
      <x:c r="N214" s="36"/>
      <x:c r="O214" s="36"/>
      <x:c r="P214" s="40"/>
      <x:c r="Q214" s="36" t="str">
        <x:f>IF(P214="","",P214-TODAY())</x:f>
      </x:c>
      <x:c r="R214" s="36" t="str">
        <x:f>IF(E214="","",IF(X214="DUPLICATE","STOP — DUPLICATE",IF(OR(N214="Completed",N214="Cancelled",N214="Rejected",N214="Superseded"),"Closed",IF(P214="","No due date",IF(Q214&lt;0,"OVERDUE",IF(Q214&lt;=7,"DUE SOON","Open"))))))</x:f>
      </x:c>
      <x:c r="S214" s="36"/>
      <x:c r="T214" s="36"/>
      <x:c r="U214" s="36"/>
      <x:c r="V214" s="42"/>
      <x:c r="W214" s="36"/>
      <x:c r="X214" s="36" t="str">
        <x:f>IF(E214="","",IF(COUNTIF($E$7:$E$506,E214)&gt;1,"DUPLICATE","OK"))</x:f>
      </x:c>
    </x:row>
    <x:row r="215">
      <x:c r="A215" s="36" t="str">
        <x:v>NEX</x:v>
      </x:c>
      <x:c r="B215" s="36"/>
      <x:c r="C215" s="38"/>
      <x:c r="D215" s="38"/>
      <x:c r="E215" s="36" t="str">
        <x:f>IF(OR(A215="",B215="",C215="",D215=""),"",A215&amp;"-"&amp;B215&amp;"-"&amp;TEXT(C215,"0000")&amp;"-"&amp;TEXT(D215,"0000"))</x:f>
      </x:c>
      <x:c r="F215" s="36" t="str">
        <x:v>R0</x:v>
      </x:c>
      <x:c r="G215" s="40"/>
      <x:c r="H215" s="40"/>
      <x:c r="I215" s="36"/>
      <x:c r="J215" s="36"/>
      <x:c r="K215" s="36"/>
      <x:c r="L215" s="44"/>
      <x:c r="M215" s="36" t="str">
        <x:v>MYR</x:v>
      </x:c>
      <x:c r="N215" s="36"/>
      <x:c r="O215" s="36"/>
      <x:c r="P215" s="40"/>
      <x:c r="Q215" s="36" t="str">
        <x:f>IF(P215="","",P215-TODAY())</x:f>
      </x:c>
      <x:c r="R215" s="36" t="str">
        <x:f>IF(E215="","",IF(X215="DUPLICATE","STOP — DUPLICATE",IF(OR(N215="Completed",N215="Cancelled",N215="Rejected",N215="Superseded"),"Closed",IF(P215="","No due date",IF(Q215&lt;0,"OVERDUE",IF(Q215&lt;=7,"DUE SOON","Open"))))))</x:f>
      </x:c>
      <x:c r="S215" s="36"/>
      <x:c r="T215" s="36"/>
      <x:c r="U215" s="36"/>
      <x:c r="V215" s="42"/>
      <x:c r="W215" s="36"/>
      <x:c r="X215" s="36" t="str">
        <x:f>IF(E215="","",IF(COUNTIF($E$7:$E$506,E215)&gt;1,"DUPLICATE","OK"))</x:f>
      </x:c>
    </x:row>
    <x:row r="216">
      <x:c r="A216" s="36" t="str">
        <x:v>NEX</x:v>
      </x:c>
      <x:c r="B216" s="36"/>
      <x:c r="C216" s="38"/>
      <x:c r="D216" s="38"/>
      <x:c r="E216" s="36" t="str">
        <x:f>IF(OR(A216="",B216="",C216="",D216=""),"",A216&amp;"-"&amp;B216&amp;"-"&amp;TEXT(C216,"0000")&amp;"-"&amp;TEXT(D216,"0000"))</x:f>
      </x:c>
      <x:c r="F216" s="36" t="str">
        <x:v>R0</x:v>
      </x:c>
      <x:c r="G216" s="40"/>
      <x:c r="H216" s="40"/>
      <x:c r="I216" s="36"/>
      <x:c r="J216" s="36"/>
      <x:c r="K216" s="36"/>
      <x:c r="L216" s="44"/>
      <x:c r="M216" s="36" t="str">
        <x:v>MYR</x:v>
      </x:c>
      <x:c r="N216" s="36"/>
      <x:c r="O216" s="36"/>
      <x:c r="P216" s="40"/>
      <x:c r="Q216" s="36" t="str">
        <x:f>IF(P216="","",P216-TODAY())</x:f>
      </x:c>
      <x:c r="R216" s="36" t="str">
        <x:f>IF(E216="","",IF(X216="DUPLICATE","STOP — DUPLICATE",IF(OR(N216="Completed",N216="Cancelled",N216="Rejected",N216="Superseded"),"Closed",IF(P216="","No due date",IF(Q216&lt;0,"OVERDUE",IF(Q216&lt;=7,"DUE SOON","Open"))))))</x:f>
      </x:c>
      <x:c r="S216" s="36"/>
      <x:c r="T216" s="36"/>
      <x:c r="U216" s="36"/>
      <x:c r="V216" s="42"/>
      <x:c r="W216" s="36"/>
      <x:c r="X216" s="36" t="str">
        <x:f>IF(E216="","",IF(COUNTIF($E$7:$E$506,E216)&gt;1,"DUPLICATE","OK"))</x:f>
      </x:c>
    </x:row>
    <x:row r="217">
      <x:c r="A217" s="36" t="str">
        <x:v>NEX</x:v>
      </x:c>
      <x:c r="B217" s="36"/>
      <x:c r="C217" s="38"/>
      <x:c r="D217" s="38"/>
      <x:c r="E217" s="36" t="str">
        <x:f>IF(OR(A217="",B217="",C217="",D217=""),"",A217&amp;"-"&amp;B217&amp;"-"&amp;TEXT(C217,"0000")&amp;"-"&amp;TEXT(D217,"0000"))</x:f>
      </x:c>
      <x:c r="F217" s="36" t="str">
        <x:v>R0</x:v>
      </x:c>
      <x:c r="G217" s="40"/>
      <x:c r="H217" s="40"/>
      <x:c r="I217" s="36"/>
      <x:c r="J217" s="36"/>
      <x:c r="K217" s="36"/>
      <x:c r="L217" s="44"/>
      <x:c r="M217" s="36" t="str">
        <x:v>MYR</x:v>
      </x:c>
      <x:c r="N217" s="36"/>
      <x:c r="O217" s="36"/>
      <x:c r="P217" s="40"/>
      <x:c r="Q217" s="36" t="str">
        <x:f>IF(P217="","",P217-TODAY())</x:f>
      </x:c>
      <x:c r="R217" s="36" t="str">
        <x:f>IF(E217="","",IF(X217="DUPLICATE","STOP — DUPLICATE",IF(OR(N217="Completed",N217="Cancelled",N217="Rejected",N217="Superseded"),"Closed",IF(P217="","No due date",IF(Q217&lt;0,"OVERDUE",IF(Q217&lt;=7,"DUE SOON","Open"))))))</x:f>
      </x:c>
      <x:c r="S217" s="36"/>
      <x:c r="T217" s="36"/>
      <x:c r="U217" s="36"/>
      <x:c r="V217" s="42"/>
      <x:c r="W217" s="36"/>
      <x:c r="X217" s="36" t="str">
        <x:f>IF(E217="","",IF(COUNTIF($E$7:$E$506,E217)&gt;1,"DUPLICATE","OK"))</x:f>
      </x:c>
    </x:row>
    <x:row r="218">
      <x:c r="A218" s="36" t="str">
        <x:v>NEX</x:v>
      </x:c>
      <x:c r="B218" s="36"/>
      <x:c r="C218" s="38"/>
      <x:c r="D218" s="38"/>
      <x:c r="E218" s="36" t="str">
        <x:f>IF(OR(A218="",B218="",C218="",D218=""),"",A218&amp;"-"&amp;B218&amp;"-"&amp;TEXT(C218,"0000")&amp;"-"&amp;TEXT(D218,"0000"))</x:f>
      </x:c>
      <x:c r="F218" s="36" t="str">
        <x:v>R0</x:v>
      </x:c>
      <x:c r="G218" s="40"/>
      <x:c r="H218" s="40"/>
      <x:c r="I218" s="36"/>
      <x:c r="J218" s="36"/>
      <x:c r="K218" s="36"/>
      <x:c r="L218" s="44"/>
      <x:c r="M218" s="36" t="str">
        <x:v>MYR</x:v>
      </x:c>
      <x:c r="N218" s="36"/>
      <x:c r="O218" s="36"/>
      <x:c r="P218" s="40"/>
      <x:c r="Q218" s="36" t="str">
        <x:f>IF(P218="","",P218-TODAY())</x:f>
      </x:c>
      <x:c r="R218" s="36" t="str">
        <x:f>IF(E218="","",IF(X218="DUPLICATE","STOP — DUPLICATE",IF(OR(N218="Completed",N218="Cancelled",N218="Rejected",N218="Superseded"),"Closed",IF(P218="","No due date",IF(Q218&lt;0,"OVERDUE",IF(Q218&lt;=7,"DUE SOON","Open"))))))</x:f>
      </x:c>
      <x:c r="S218" s="36"/>
      <x:c r="T218" s="36"/>
      <x:c r="U218" s="36"/>
      <x:c r="V218" s="42"/>
      <x:c r="W218" s="36"/>
      <x:c r="X218" s="36" t="str">
        <x:f>IF(E218="","",IF(COUNTIF($E$7:$E$506,E218)&gt;1,"DUPLICATE","OK"))</x:f>
      </x:c>
    </x:row>
    <x:row r="219">
      <x:c r="A219" s="36" t="str">
        <x:v>NEX</x:v>
      </x:c>
      <x:c r="B219" s="36"/>
      <x:c r="C219" s="38"/>
      <x:c r="D219" s="38"/>
      <x:c r="E219" s="36" t="str">
        <x:f>IF(OR(A219="",B219="",C219="",D219=""),"",A219&amp;"-"&amp;B219&amp;"-"&amp;TEXT(C219,"0000")&amp;"-"&amp;TEXT(D219,"0000"))</x:f>
      </x:c>
      <x:c r="F219" s="36" t="str">
        <x:v>R0</x:v>
      </x:c>
      <x:c r="G219" s="40"/>
      <x:c r="H219" s="40"/>
      <x:c r="I219" s="36"/>
      <x:c r="J219" s="36"/>
      <x:c r="K219" s="36"/>
      <x:c r="L219" s="44"/>
      <x:c r="M219" s="36" t="str">
        <x:v>MYR</x:v>
      </x:c>
      <x:c r="N219" s="36"/>
      <x:c r="O219" s="36"/>
      <x:c r="P219" s="40"/>
      <x:c r="Q219" s="36" t="str">
        <x:f>IF(P219="","",P219-TODAY())</x:f>
      </x:c>
      <x:c r="R219" s="36" t="str">
        <x:f>IF(E219="","",IF(X219="DUPLICATE","STOP — DUPLICATE",IF(OR(N219="Completed",N219="Cancelled",N219="Rejected",N219="Superseded"),"Closed",IF(P219="","No due date",IF(Q219&lt;0,"OVERDUE",IF(Q219&lt;=7,"DUE SOON","Open"))))))</x:f>
      </x:c>
      <x:c r="S219" s="36"/>
      <x:c r="T219" s="36"/>
      <x:c r="U219" s="36"/>
      <x:c r="V219" s="42"/>
      <x:c r="W219" s="36"/>
      <x:c r="X219" s="36" t="str">
        <x:f>IF(E219="","",IF(COUNTIF($E$7:$E$506,E219)&gt;1,"DUPLICATE","OK"))</x:f>
      </x:c>
    </x:row>
    <x:row r="220">
      <x:c r="A220" s="36" t="str">
        <x:v>NEX</x:v>
      </x:c>
      <x:c r="B220" s="36"/>
      <x:c r="C220" s="38"/>
      <x:c r="D220" s="38"/>
      <x:c r="E220" s="36" t="str">
        <x:f>IF(OR(A220="",B220="",C220="",D220=""),"",A220&amp;"-"&amp;B220&amp;"-"&amp;TEXT(C220,"0000")&amp;"-"&amp;TEXT(D220,"0000"))</x:f>
      </x:c>
      <x:c r="F220" s="36" t="str">
        <x:v>R0</x:v>
      </x:c>
      <x:c r="G220" s="40"/>
      <x:c r="H220" s="40"/>
      <x:c r="I220" s="36"/>
      <x:c r="J220" s="36"/>
      <x:c r="K220" s="36"/>
      <x:c r="L220" s="44"/>
      <x:c r="M220" s="36" t="str">
        <x:v>MYR</x:v>
      </x:c>
      <x:c r="N220" s="36"/>
      <x:c r="O220" s="36"/>
      <x:c r="P220" s="40"/>
      <x:c r="Q220" s="36" t="str">
        <x:f>IF(P220="","",P220-TODAY())</x:f>
      </x:c>
      <x:c r="R220" s="36" t="str">
        <x:f>IF(E220="","",IF(X220="DUPLICATE","STOP — DUPLICATE",IF(OR(N220="Completed",N220="Cancelled",N220="Rejected",N220="Superseded"),"Closed",IF(P220="","No due date",IF(Q220&lt;0,"OVERDUE",IF(Q220&lt;=7,"DUE SOON","Open"))))))</x:f>
      </x:c>
      <x:c r="S220" s="36"/>
      <x:c r="T220" s="36"/>
      <x:c r="U220" s="36"/>
      <x:c r="V220" s="42"/>
      <x:c r="W220" s="36"/>
      <x:c r="X220" s="36" t="str">
        <x:f>IF(E220="","",IF(COUNTIF($E$7:$E$506,E220)&gt;1,"DUPLICATE","OK"))</x:f>
      </x:c>
    </x:row>
    <x:row r="221">
      <x:c r="A221" s="36" t="str">
        <x:v>NEX</x:v>
      </x:c>
      <x:c r="B221" s="36"/>
      <x:c r="C221" s="38"/>
      <x:c r="D221" s="38"/>
      <x:c r="E221" s="36" t="str">
        <x:f>IF(OR(A221="",B221="",C221="",D221=""),"",A221&amp;"-"&amp;B221&amp;"-"&amp;TEXT(C221,"0000")&amp;"-"&amp;TEXT(D221,"0000"))</x:f>
      </x:c>
      <x:c r="F221" s="36" t="str">
        <x:v>R0</x:v>
      </x:c>
      <x:c r="G221" s="40"/>
      <x:c r="H221" s="40"/>
      <x:c r="I221" s="36"/>
      <x:c r="J221" s="36"/>
      <x:c r="K221" s="36"/>
      <x:c r="L221" s="44"/>
      <x:c r="M221" s="36" t="str">
        <x:v>MYR</x:v>
      </x:c>
      <x:c r="N221" s="36"/>
      <x:c r="O221" s="36"/>
      <x:c r="P221" s="40"/>
      <x:c r="Q221" s="36" t="str">
        <x:f>IF(P221="","",P221-TODAY())</x:f>
      </x:c>
      <x:c r="R221" s="36" t="str">
        <x:f>IF(E221="","",IF(X221="DUPLICATE","STOP — DUPLICATE",IF(OR(N221="Completed",N221="Cancelled",N221="Rejected",N221="Superseded"),"Closed",IF(P221="","No due date",IF(Q221&lt;0,"OVERDUE",IF(Q221&lt;=7,"DUE SOON","Open"))))))</x:f>
      </x:c>
      <x:c r="S221" s="36"/>
      <x:c r="T221" s="36"/>
      <x:c r="U221" s="36"/>
      <x:c r="V221" s="42"/>
      <x:c r="W221" s="36"/>
      <x:c r="X221" s="36" t="str">
        <x:f>IF(E221="","",IF(COUNTIF($E$7:$E$506,E221)&gt;1,"DUPLICATE","OK"))</x:f>
      </x:c>
    </x:row>
    <x:row r="222">
      <x:c r="A222" s="36" t="str">
        <x:v>NEX</x:v>
      </x:c>
      <x:c r="B222" s="36"/>
      <x:c r="C222" s="38"/>
      <x:c r="D222" s="38"/>
      <x:c r="E222" s="36" t="str">
        <x:f>IF(OR(A222="",B222="",C222="",D222=""),"",A222&amp;"-"&amp;B222&amp;"-"&amp;TEXT(C222,"0000")&amp;"-"&amp;TEXT(D222,"0000"))</x:f>
      </x:c>
      <x:c r="F222" s="36" t="str">
        <x:v>R0</x:v>
      </x:c>
      <x:c r="G222" s="40"/>
      <x:c r="H222" s="40"/>
      <x:c r="I222" s="36"/>
      <x:c r="J222" s="36"/>
      <x:c r="K222" s="36"/>
      <x:c r="L222" s="44"/>
      <x:c r="M222" s="36" t="str">
        <x:v>MYR</x:v>
      </x:c>
      <x:c r="N222" s="36"/>
      <x:c r="O222" s="36"/>
      <x:c r="P222" s="40"/>
      <x:c r="Q222" s="36" t="str">
        <x:f>IF(P222="","",P222-TODAY())</x:f>
      </x:c>
      <x:c r="R222" s="36" t="str">
        <x:f>IF(E222="","",IF(X222="DUPLICATE","STOP — DUPLICATE",IF(OR(N222="Completed",N222="Cancelled",N222="Rejected",N222="Superseded"),"Closed",IF(P222="","No due date",IF(Q222&lt;0,"OVERDUE",IF(Q222&lt;=7,"DUE SOON","Open"))))))</x:f>
      </x:c>
      <x:c r="S222" s="36"/>
      <x:c r="T222" s="36"/>
      <x:c r="U222" s="36"/>
      <x:c r="V222" s="42"/>
      <x:c r="W222" s="36"/>
      <x:c r="X222" s="36" t="str">
        <x:f>IF(E222="","",IF(COUNTIF($E$7:$E$506,E222)&gt;1,"DUPLICATE","OK"))</x:f>
      </x:c>
    </x:row>
    <x:row r="223">
      <x:c r="A223" s="36" t="str">
        <x:v>NEX</x:v>
      </x:c>
      <x:c r="B223" s="36"/>
      <x:c r="C223" s="38"/>
      <x:c r="D223" s="38"/>
      <x:c r="E223" s="36" t="str">
        <x:f>IF(OR(A223="",B223="",C223="",D223=""),"",A223&amp;"-"&amp;B223&amp;"-"&amp;TEXT(C223,"0000")&amp;"-"&amp;TEXT(D223,"0000"))</x:f>
      </x:c>
      <x:c r="F223" s="36" t="str">
        <x:v>R0</x:v>
      </x:c>
      <x:c r="G223" s="40"/>
      <x:c r="H223" s="40"/>
      <x:c r="I223" s="36"/>
      <x:c r="J223" s="36"/>
      <x:c r="K223" s="36"/>
      <x:c r="L223" s="44"/>
      <x:c r="M223" s="36" t="str">
        <x:v>MYR</x:v>
      </x:c>
      <x:c r="N223" s="36"/>
      <x:c r="O223" s="36"/>
      <x:c r="P223" s="40"/>
      <x:c r="Q223" s="36" t="str">
        <x:f>IF(P223="","",P223-TODAY())</x:f>
      </x:c>
      <x:c r="R223" s="36" t="str">
        <x:f>IF(E223="","",IF(X223="DUPLICATE","STOP — DUPLICATE",IF(OR(N223="Completed",N223="Cancelled",N223="Rejected",N223="Superseded"),"Closed",IF(P223="","No due date",IF(Q223&lt;0,"OVERDUE",IF(Q223&lt;=7,"DUE SOON","Open"))))))</x:f>
      </x:c>
      <x:c r="S223" s="36"/>
      <x:c r="T223" s="36"/>
      <x:c r="U223" s="36"/>
      <x:c r="V223" s="42"/>
      <x:c r="W223" s="36"/>
      <x:c r="X223" s="36" t="str">
        <x:f>IF(E223="","",IF(COUNTIF($E$7:$E$506,E223)&gt;1,"DUPLICATE","OK"))</x:f>
      </x:c>
    </x:row>
    <x:row r="224">
      <x:c r="A224" s="36" t="str">
        <x:v>NEX</x:v>
      </x:c>
      <x:c r="B224" s="36"/>
      <x:c r="C224" s="38"/>
      <x:c r="D224" s="38"/>
      <x:c r="E224" s="36" t="str">
        <x:f>IF(OR(A224="",B224="",C224="",D224=""),"",A224&amp;"-"&amp;B224&amp;"-"&amp;TEXT(C224,"0000")&amp;"-"&amp;TEXT(D224,"0000"))</x:f>
      </x:c>
      <x:c r="F224" s="36" t="str">
        <x:v>R0</x:v>
      </x:c>
      <x:c r="G224" s="40"/>
      <x:c r="H224" s="40"/>
      <x:c r="I224" s="36"/>
      <x:c r="J224" s="36"/>
      <x:c r="K224" s="36"/>
      <x:c r="L224" s="44"/>
      <x:c r="M224" s="36" t="str">
        <x:v>MYR</x:v>
      </x:c>
      <x:c r="N224" s="36"/>
      <x:c r="O224" s="36"/>
      <x:c r="P224" s="40"/>
      <x:c r="Q224" s="36" t="str">
        <x:f>IF(P224="","",P224-TODAY())</x:f>
      </x:c>
      <x:c r="R224" s="36" t="str">
        <x:f>IF(E224="","",IF(X224="DUPLICATE","STOP — DUPLICATE",IF(OR(N224="Completed",N224="Cancelled",N224="Rejected",N224="Superseded"),"Closed",IF(P224="","No due date",IF(Q224&lt;0,"OVERDUE",IF(Q224&lt;=7,"DUE SOON","Open"))))))</x:f>
      </x:c>
      <x:c r="S224" s="36"/>
      <x:c r="T224" s="36"/>
      <x:c r="U224" s="36"/>
      <x:c r="V224" s="42"/>
      <x:c r="W224" s="36"/>
      <x:c r="X224" s="36" t="str">
        <x:f>IF(E224="","",IF(COUNTIF($E$7:$E$506,E224)&gt;1,"DUPLICATE","OK"))</x:f>
      </x:c>
    </x:row>
    <x:row r="225">
      <x:c r="A225" s="36" t="str">
        <x:v>NEX</x:v>
      </x:c>
      <x:c r="B225" s="36"/>
      <x:c r="C225" s="38"/>
      <x:c r="D225" s="38"/>
      <x:c r="E225" s="36" t="str">
        <x:f>IF(OR(A225="",B225="",C225="",D225=""),"",A225&amp;"-"&amp;B225&amp;"-"&amp;TEXT(C225,"0000")&amp;"-"&amp;TEXT(D225,"0000"))</x:f>
      </x:c>
      <x:c r="F225" s="36" t="str">
        <x:v>R0</x:v>
      </x:c>
      <x:c r="G225" s="40"/>
      <x:c r="H225" s="40"/>
      <x:c r="I225" s="36"/>
      <x:c r="J225" s="36"/>
      <x:c r="K225" s="36"/>
      <x:c r="L225" s="44"/>
      <x:c r="M225" s="36" t="str">
        <x:v>MYR</x:v>
      </x:c>
      <x:c r="N225" s="36"/>
      <x:c r="O225" s="36"/>
      <x:c r="P225" s="40"/>
      <x:c r="Q225" s="36" t="str">
        <x:f>IF(P225="","",P225-TODAY())</x:f>
      </x:c>
      <x:c r="R225" s="36" t="str">
        <x:f>IF(E225="","",IF(X225="DUPLICATE","STOP — DUPLICATE",IF(OR(N225="Completed",N225="Cancelled",N225="Rejected",N225="Superseded"),"Closed",IF(P225="","No due date",IF(Q225&lt;0,"OVERDUE",IF(Q225&lt;=7,"DUE SOON","Open"))))))</x:f>
      </x:c>
      <x:c r="S225" s="36"/>
      <x:c r="T225" s="36"/>
      <x:c r="U225" s="36"/>
      <x:c r="V225" s="42"/>
      <x:c r="W225" s="36"/>
      <x:c r="X225" s="36" t="str">
        <x:f>IF(E225="","",IF(COUNTIF($E$7:$E$506,E225)&gt;1,"DUPLICATE","OK"))</x:f>
      </x:c>
    </x:row>
    <x:row r="226">
      <x:c r="A226" s="36" t="str">
        <x:v>NEX</x:v>
      </x:c>
      <x:c r="B226" s="36"/>
      <x:c r="C226" s="38"/>
      <x:c r="D226" s="38"/>
      <x:c r="E226" s="36" t="str">
        <x:f>IF(OR(A226="",B226="",C226="",D226=""),"",A226&amp;"-"&amp;B226&amp;"-"&amp;TEXT(C226,"0000")&amp;"-"&amp;TEXT(D226,"0000"))</x:f>
      </x:c>
      <x:c r="F226" s="36" t="str">
        <x:v>R0</x:v>
      </x:c>
      <x:c r="G226" s="40"/>
      <x:c r="H226" s="40"/>
      <x:c r="I226" s="36"/>
      <x:c r="J226" s="36"/>
      <x:c r="K226" s="36"/>
      <x:c r="L226" s="44"/>
      <x:c r="M226" s="36" t="str">
        <x:v>MYR</x:v>
      </x:c>
      <x:c r="N226" s="36"/>
      <x:c r="O226" s="36"/>
      <x:c r="P226" s="40"/>
      <x:c r="Q226" s="36" t="str">
        <x:f>IF(P226="","",P226-TODAY())</x:f>
      </x:c>
      <x:c r="R226" s="36" t="str">
        <x:f>IF(E226="","",IF(X226="DUPLICATE","STOP — DUPLICATE",IF(OR(N226="Completed",N226="Cancelled",N226="Rejected",N226="Superseded"),"Closed",IF(P226="","No due date",IF(Q226&lt;0,"OVERDUE",IF(Q226&lt;=7,"DUE SOON","Open"))))))</x:f>
      </x:c>
      <x:c r="S226" s="36"/>
      <x:c r="T226" s="36"/>
      <x:c r="U226" s="36"/>
      <x:c r="V226" s="42"/>
      <x:c r="W226" s="36"/>
      <x:c r="X226" s="36" t="str">
        <x:f>IF(E226="","",IF(COUNTIF($E$7:$E$506,E226)&gt;1,"DUPLICATE","OK"))</x:f>
      </x:c>
    </x:row>
    <x:row r="227">
      <x:c r="A227" s="36" t="str">
        <x:v>NEX</x:v>
      </x:c>
      <x:c r="B227" s="36"/>
      <x:c r="C227" s="38"/>
      <x:c r="D227" s="38"/>
      <x:c r="E227" s="36" t="str">
        <x:f>IF(OR(A227="",B227="",C227="",D227=""),"",A227&amp;"-"&amp;B227&amp;"-"&amp;TEXT(C227,"0000")&amp;"-"&amp;TEXT(D227,"0000"))</x:f>
      </x:c>
      <x:c r="F227" s="36" t="str">
        <x:v>R0</x:v>
      </x:c>
      <x:c r="G227" s="40"/>
      <x:c r="H227" s="40"/>
      <x:c r="I227" s="36"/>
      <x:c r="J227" s="36"/>
      <x:c r="K227" s="36"/>
      <x:c r="L227" s="44"/>
      <x:c r="M227" s="36" t="str">
        <x:v>MYR</x:v>
      </x:c>
      <x:c r="N227" s="36"/>
      <x:c r="O227" s="36"/>
      <x:c r="P227" s="40"/>
      <x:c r="Q227" s="36" t="str">
        <x:f>IF(P227="","",P227-TODAY())</x:f>
      </x:c>
      <x:c r="R227" s="36" t="str">
        <x:f>IF(E227="","",IF(X227="DUPLICATE","STOP — DUPLICATE",IF(OR(N227="Completed",N227="Cancelled",N227="Rejected",N227="Superseded"),"Closed",IF(P227="","No due date",IF(Q227&lt;0,"OVERDUE",IF(Q227&lt;=7,"DUE SOON","Open"))))))</x:f>
      </x:c>
      <x:c r="S227" s="36"/>
      <x:c r="T227" s="36"/>
      <x:c r="U227" s="36"/>
      <x:c r="V227" s="42"/>
      <x:c r="W227" s="36"/>
      <x:c r="X227" s="36" t="str">
        <x:f>IF(E227="","",IF(COUNTIF($E$7:$E$506,E227)&gt;1,"DUPLICATE","OK"))</x:f>
      </x:c>
    </x:row>
    <x:row r="228">
      <x:c r="A228" s="36" t="str">
        <x:v>NEX</x:v>
      </x:c>
      <x:c r="B228" s="36"/>
      <x:c r="C228" s="38"/>
      <x:c r="D228" s="38"/>
      <x:c r="E228" s="36" t="str">
        <x:f>IF(OR(A228="",B228="",C228="",D228=""),"",A228&amp;"-"&amp;B228&amp;"-"&amp;TEXT(C228,"0000")&amp;"-"&amp;TEXT(D228,"0000"))</x:f>
      </x:c>
      <x:c r="F228" s="36" t="str">
        <x:v>R0</x:v>
      </x:c>
      <x:c r="G228" s="40"/>
      <x:c r="H228" s="40"/>
      <x:c r="I228" s="36"/>
      <x:c r="J228" s="36"/>
      <x:c r="K228" s="36"/>
      <x:c r="L228" s="44"/>
      <x:c r="M228" s="36" t="str">
        <x:v>MYR</x:v>
      </x:c>
      <x:c r="N228" s="36"/>
      <x:c r="O228" s="36"/>
      <x:c r="P228" s="40"/>
      <x:c r="Q228" s="36" t="str">
        <x:f>IF(P228="","",P228-TODAY())</x:f>
      </x:c>
      <x:c r="R228" s="36" t="str">
        <x:f>IF(E228="","",IF(X228="DUPLICATE","STOP — DUPLICATE",IF(OR(N228="Completed",N228="Cancelled",N228="Rejected",N228="Superseded"),"Closed",IF(P228="","No due date",IF(Q228&lt;0,"OVERDUE",IF(Q228&lt;=7,"DUE SOON","Open"))))))</x:f>
      </x:c>
      <x:c r="S228" s="36"/>
      <x:c r="T228" s="36"/>
      <x:c r="U228" s="36"/>
      <x:c r="V228" s="42"/>
      <x:c r="W228" s="36"/>
      <x:c r="X228" s="36" t="str">
        <x:f>IF(E228="","",IF(COUNTIF($E$7:$E$506,E228)&gt;1,"DUPLICATE","OK"))</x:f>
      </x:c>
    </x:row>
    <x:row r="229">
      <x:c r="A229" s="36" t="str">
        <x:v>NEX</x:v>
      </x:c>
      <x:c r="B229" s="36"/>
      <x:c r="C229" s="38"/>
      <x:c r="D229" s="38"/>
      <x:c r="E229" s="36" t="str">
        <x:f>IF(OR(A229="",B229="",C229="",D229=""),"",A229&amp;"-"&amp;B229&amp;"-"&amp;TEXT(C229,"0000")&amp;"-"&amp;TEXT(D229,"0000"))</x:f>
      </x:c>
      <x:c r="F229" s="36" t="str">
        <x:v>R0</x:v>
      </x:c>
      <x:c r="G229" s="40"/>
      <x:c r="H229" s="40"/>
      <x:c r="I229" s="36"/>
      <x:c r="J229" s="36"/>
      <x:c r="K229" s="36"/>
      <x:c r="L229" s="44"/>
      <x:c r="M229" s="36" t="str">
        <x:v>MYR</x:v>
      </x:c>
      <x:c r="N229" s="36"/>
      <x:c r="O229" s="36"/>
      <x:c r="P229" s="40"/>
      <x:c r="Q229" s="36" t="str">
        <x:f>IF(P229="","",P229-TODAY())</x:f>
      </x:c>
      <x:c r="R229" s="36" t="str">
        <x:f>IF(E229="","",IF(X229="DUPLICATE","STOP — DUPLICATE",IF(OR(N229="Completed",N229="Cancelled",N229="Rejected",N229="Superseded"),"Closed",IF(P229="","No due date",IF(Q229&lt;0,"OVERDUE",IF(Q229&lt;=7,"DUE SOON","Open"))))))</x:f>
      </x:c>
      <x:c r="S229" s="36"/>
      <x:c r="T229" s="36"/>
      <x:c r="U229" s="36"/>
      <x:c r="V229" s="42"/>
      <x:c r="W229" s="36"/>
      <x:c r="X229" s="36" t="str">
        <x:f>IF(E229="","",IF(COUNTIF($E$7:$E$506,E229)&gt;1,"DUPLICATE","OK"))</x:f>
      </x:c>
    </x:row>
    <x:row r="230">
      <x:c r="A230" s="36" t="str">
        <x:v>NEX</x:v>
      </x:c>
      <x:c r="B230" s="36"/>
      <x:c r="C230" s="38"/>
      <x:c r="D230" s="38"/>
      <x:c r="E230" s="36" t="str">
        <x:f>IF(OR(A230="",B230="",C230="",D230=""),"",A230&amp;"-"&amp;B230&amp;"-"&amp;TEXT(C230,"0000")&amp;"-"&amp;TEXT(D230,"0000"))</x:f>
      </x:c>
      <x:c r="F230" s="36" t="str">
        <x:v>R0</x:v>
      </x:c>
      <x:c r="G230" s="40"/>
      <x:c r="H230" s="40"/>
      <x:c r="I230" s="36"/>
      <x:c r="J230" s="36"/>
      <x:c r="K230" s="36"/>
      <x:c r="L230" s="44"/>
      <x:c r="M230" s="36" t="str">
        <x:v>MYR</x:v>
      </x:c>
      <x:c r="N230" s="36"/>
      <x:c r="O230" s="36"/>
      <x:c r="P230" s="40"/>
      <x:c r="Q230" s="36" t="str">
        <x:f>IF(P230="","",P230-TODAY())</x:f>
      </x:c>
      <x:c r="R230" s="36" t="str">
        <x:f>IF(E230="","",IF(X230="DUPLICATE","STOP — DUPLICATE",IF(OR(N230="Completed",N230="Cancelled",N230="Rejected",N230="Superseded"),"Closed",IF(P230="","No due date",IF(Q230&lt;0,"OVERDUE",IF(Q230&lt;=7,"DUE SOON","Open"))))))</x:f>
      </x:c>
      <x:c r="S230" s="36"/>
      <x:c r="T230" s="36"/>
      <x:c r="U230" s="36"/>
      <x:c r="V230" s="42"/>
      <x:c r="W230" s="36"/>
      <x:c r="X230" s="36" t="str">
        <x:f>IF(E230="","",IF(COUNTIF($E$7:$E$506,E230)&gt;1,"DUPLICATE","OK"))</x:f>
      </x:c>
    </x:row>
    <x:row r="231">
      <x:c r="A231" s="36" t="str">
        <x:v>NEX</x:v>
      </x:c>
      <x:c r="B231" s="36"/>
      <x:c r="C231" s="38"/>
      <x:c r="D231" s="38"/>
      <x:c r="E231" s="36" t="str">
        <x:f>IF(OR(A231="",B231="",C231="",D231=""),"",A231&amp;"-"&amp;B231&amp;"-"&amp;TEXT(C231,"0000")&amp;"-"&amp;TEXT(D231,"0000"))</x:f>
      </x:c>
      <x:c r="F231" s="36" t="str">
        <x:v>R0</x:v>
      </x:c>
      <x:c r="G231" s="40"/>
      <x:c r="H231" s="40"/>
      <x:c r="I231" s="36"/>
      <x:c r="J231" s="36"/>
      <x:c r="K231" s="36"/>
      <x:c r="L231" s="44"/>
      <x:c r="M231" s="36" t="str">
        <x:v>MYR</x:v>
      </x:c>
      <x:c r="N231" s="36"/>
      <x:c r="O231" s="36"/>
      <x:c r="P231" s="40"/>
      <x:c r="Q231" s="36" t="str">
        <x:f>IF(P231="","",P231-TODAY())</x:f>
      </x:c>
      <x:c r="R231" s="36" t="str">
        <x:f>IF(E231="","",IF(X231="DUPLICATE","STOP — DUPLICATE",IF(OR(N231="Completed",N231="Cancelled",N231="Rejected",N231="Superseded"),"Closed",IF(P231="","No due date",IF(Q231&lt;0,"OVERDUE",IF(Q231&lt;=7,"DUE SOON","Open"))))))</x:f>
      </x:c>
      <x:c r="S231" s="36"/>
      <x:c r="T231" s="36"/>
      <x:c r="U231" s="36"/>
      <x:c r="V231" s="42"/>
      <x:c r="W231" s="36"/>
      <x:c r="X231" s="36" t="str">
        <x:f>IF(E231="","",IF(COUNTIF($E$7:$E$506,E231)&gt;1,"DUPLICATE","OK"))</x:f>
      </x:c>
    </x:row>
    <x:row r="232">
      <x:c r="A232" s="36" t="str">
        <x:v>NEX</x:v>
      </x:c>
      <x:c r="B232" s="36"/>
      <x:c r="C232" s="38"/>
      <x:c r="D232" s="38"/>
      <x:c r="E232" s="36" t="str">
        <x:f>IF(OR(A232="",B232="",C232="",D232=""),"",A232&amp;"-"&amp;B232&amp;"-"&amp;TEXT(C232,"0000")&amp;"-"&amp;TEXT(D232,"0000"))</x:f>
      </x:c>
      <x:c r="F232" s="36" t="str">
        <x:v>R0</x:v>
      </x:c>
      <x:c r="G232" s="40"/>
      <x:c r="H232" s="40"/>
      <x:c r="I232" s="36"/>
      <x:c r="J232" s="36"/>
      <x:c r="K232" s="36"/>
      <x:c r="L232" s="44"/>
      <x:c r="M232" s="36" t="str">
        <x:v>MYR</x:v>
      </x:c>
      <x:c r="N232" s="36"/>
      <x:c r="O232" s="36"/>
      <x:c r="P232" s="40"/>
      <x:c r="Q232" s="36" t="str">
        <x:f>IF(P232="","",P232-TODAY())</x:f>
      </x:c>
      <x:c r="R232" s="36" t="str">
        <x:f>IF(E232="","",IF(X232="DUPLICATE","STOP — DUPLICATE",IF(OR(N232="Completed",N232="Cancelled",N232="Rejected",N232="Superseded"),"Closed",IF(P232="","No due date",IF(Q232&lt;0,"OVERDUE",IF(Q232&lt;=7,"DUE SOON","Open"))))))</x:f>
      </x:c>
      <x:c r="S232" s="36"/>
      <x:c r="T232" s="36"/>
      <x:c r="U232" s="36"/>
      <x:c r="V232" s="42"/>
      <x:c r="W232" s="36"/>
      <x:c r="X232" s="36" t="str">
        <x:f>IF(E232="","",IF(COUNTIF($E$7:$E$506,E232)&gt;1,"DUPLICATE","OK"))</x:f>
      </x:c>
    </x:row>
    <x:row r="233">
      <x:c r="A233" s="36" t="str">
        <x:v>NEX</x:v>
      </x:c>
      <x:c r="B233" s="36"/>
      <x:c r="C233" s="38"/>
      <x:c r="D233" s="38"/>
      <x:c r="E233" s="36" t="str">
        <x:f>IF(OR(A233="",B233="",C233="",D233=""),"",A233&amp;"-"&amp;B233&amp;"-"&amp;TEXT(C233,"0000")&amp;"-"&amp;TEXT(D233,"0000"))</x:f>
      </x:c>
      <x:c r="F233" s="36" t="str">
        <x:v>R0</x:v>
      </x:c>
      <x:c r="G233" s="40"/>
      <x:c r="H233" s="40"/>
      <x:c r="I233" s="36"/>
      <x:c r="J233" s="36"/>
      <x:c r="K233" s="36"/>
      <x:c r="L233" s="44"/>
      <x:c r="M233" s="36" t="str">
        <x:v>MYR</x:v>
      </x:c>
      <x:c r="N233" s="36"/>
      <x:c r="O233" s="36"/>
      <x:c r="P233" s="40"/>
      <x:c r="Q233" s="36" t="str">
        <x:f>IF(P233="","",P233-TODAY())</x:f>
      </x:c>
      <x:c r="R233" s="36" t="str">
        <x:f>IF(E233="","",IF(X233="DUPLICATE","STOP — DUPLICATE",IF(OR(N233="Completed",N233="Cancelled",N233="Rejected",N233="Superseded"),"Closed",IF(P233="","No due date",IF(Q233&lt;0,"OVERDUE",IF(Q233&lt;=7,"DUE SOON","Open"))))))</x:f>
      </x:c>
      <x:c r="S233" s="36"/>
      <x:c r="T233" s="36"/>
      <x:c r="U233" s="36"/>
      <x:c r="V233" s="42"/>
      <x:c r="W233" s="36"/>
      <x:c r="X233" s="36" t="str">
        <x:f>IF(E233="","",IF(COUNTIF($E$7:$E$506,E233)&gt;1,"DUPLICATE","OK"))</x:f>
      </x:c>
    </x:row>
    <x:row r="234">
      <x:c r="A234" s="36" t="str">
        <x:v>NEX</x:v>
      </x:c>
      <x:c r="B234" s="36"/>
      <x:c r="C234" s="38"/>
      <x:c r="D234" s="38"/>
      <x:c r="E234" s="36" t="str">
        <x:f>IF(OR(A234="",B234="",C234="",D234=""),"",A234&amp;"-"&amp;B234&amp;"-"&amp;TEXT(C234,"0000")&amp;"-"&amp;TEXT(D234,"0000"))</x:f>
      </x:c>
      <x:c r="F234" s="36" t="str">
        <x:v>R0</x:v>
      </x:c>
      <x:c r="G234" s="40"/>
      <x:c r="H234" s="40"/>
      <x:c r="I234" s="36"/>
      <x:c r="J234" s="36"/>
      <x:c r="K234" s="36"/>
      <x:c r="L234" s="44"/>
      <x:c r="M234" s="36" t="str">
        <x:v>MYR</x:v>
      </x:c>
      <x:c r="N234" s="36"/>
      <x:c r="O234" s="36"/>
      <x:c r="P234" s="40"/>
      <x:c r="Q234" s="36" t="str">
        <x:f>IF(P234="","",P234-TODAY())</x:f>
      </x:c>
      <x:c r="R234" s="36" t="str">
        <x:f>IF(E234="","",IF(X234="DUPLICATE","STOP — DUPLICATE",IF(OR(N234="Completed",N234="Cancelled",N234="Rejected",N234="Superseded"),"Closed",IF(P234="","No due date",IF(Q234&lt;0,"OVERDUE",IF(Q234&lt;=7,"DUE SOON","Open"))))))</x:f>
      </x:c>
      <x:c r="S234" s="36"/>
      <x:c r="T234" s="36"/>
      <x:c r="U234" s="36"/>
      <x:c r="V234" s="42"/>
      <x:c r="W234" s="36"/>
      <x:c r="X234" s="36" t="str">
        <x:f>IF(E234="","",IF(COUNTIF($E$7:$E$506,E234)&gt;1,"DUPLICATE","OK"))</x:f>
      </x:c>
    </x:row>
    <x:row r="235">
      <x:c r="A235" s="36" t="str">
        <x:v>NEX</x:v>
      </x:c>
      <x:c r="B235" s="36"/>
      <x:c r="C235" s="38"/>
      <x:c r="D235" s="38"/>
      <x:c r="E235" s="36" t="str">
        <x:f>IF(OR(A235="",B235="",C235="",D235=""),"",A235&amp;"-"&amp;B235&amp;"-"&amp;TEXT(C235,"0000")&amp;"-"&amp;TEXT(D235,"0000"))</x:f>
      </x:c>
      <x:c r="F235" s="36" t="str">
        <x:v>R0</x:v>
      </x:c>
      <x:c r="G235" s="40"/>
      <x:c r="H235" s="40"/>
      <x:c r="I235" s="36"/>
      <x:c r="J235" s="36"/>
      <x:c r="K235" s="36"/>
      <x:c r="L235" s="44"/>
      <x:c r="M235" s="36" t="str">
        <x:v>MYR</x:v>
      </x:c>
      <x:c r="N235" s="36"/>
      <x:c r="O235" s="36"/>
      <x:c r="P235" s="40"/>
      <x:c r="Q235" s="36" t="str">
        <x:f>IF(P235="","",P235-TODAY())</x:f>
      </x:c>
      <x:c r="R235" s="36" t="str">
        <x:f>IF(E235="","",IF(X235="DUPLICATE","STOP — DUPLICATE",IF(OR(N235="Completed",N235="Cancelled",N235="Rejected",N235="Superseded"),"Closed",IF(P235="","No due date",IF(Q235&lt;0,"OVERDUE",IF(Q235&lt;=7,"DUE SOON","Open"))))))</x:f>
      </x:c>
      <x:c r="S235" s="36"/>
      <x:c r="T235" s="36"/>
      <x:c r="U235" s="36"/>
      <x:c r="V235" s="42"/>
      <x:c r="W235" s="36"/>
      <x:c r="X235" s="36" t="str">
        <x:f>IF(E235="","",IF(COUNTIF($E$7:$E$506,E235)&gt;1,"DUPLICATE","OK"))</x:f>
      </x:c>
    </x:row>
    <x:row r="236">
      <x:c r="A236" s="36" t="str">
        <x:v>NEX</x:v>
      </x:c>
      <x:c r="B236" s="36"/>
      <x:c r="C236" s="38"/>
      <x:c r="D236" s="38"/>
      <x:c r="E236" s="36" t="str">
        <x:f>IF(OR(A236="",B236="",C236="",D236=""),"",A236&amp;"-"&amp;B236&amp;"-"&amp;TEXT(C236,"0000")&amp;"-"&amp;TEXT(D236,"0000"))</x:f>
      </x:c>
      <x:c r="F236" s="36" t="str">
        <x:v>R0</x:v>
      </x:c>
      <x:c r="G236" s="40"/>
      <x:c r="H236" s="40"/>
      <x:c r="I236" s="36"/>
      <x:c r="J236" s="36"/>
      <x:c r="K236" s="36"/>
      <x:c r="L236" s="44"/>
      <x:c r="M236" s="36" t="str">
        <x:v>MYR</x:v>
      </x:c>
      <x:c r="N236" s="36"/>
      <x:c r="O236" s="36"/>
      <x:c r="P236" s="40"/>
      <x:c r="Q236" s="36" t="str">
        <x:f>IF(P236="","",P236-TODAY())</x:f>
      </x:c>
      <x:c r="R236" s="36" t="str">
        <x:f>IF(E236="","",IF(X236="DUPLICATE","STOP — DUPLICATE",IF(OR(N236="Completed",N236="Cancelled",N236="Rejected",N236="Superseded"),"Closed",IF(P236="","No due date",IF(Q236&lt;0,"OVERDUE",IF(Q236&lt;=7,"DUE SOON","Open"))))))</x:f>
      </x:c>
      <x:c r="S236" s="36"/>
      <x:c r="T236" s="36"/>
      <x:c r="U236" s="36"/>
      <x:c r="V236" s="42"/>
      <x:c r="W236" s="36"/>
      <x:c r="X236" s="36" t="str">
        <x:f>IF(E236="","",IF(COUNTIF($E$7:$E$506,E236)&gt;1,"DUPLICATE","OK"))</x:f>
      </x:c>
    </x:row>
    <x:row r="237">
      <x:c r="A237" s="36" t="str">
        <x:v>NEX</x:v>
      </x:c>
      <x:c r="B237" s="36"/>
      <x:c r="C237" s="38"/>
      <x:c r="D237" s="38"/>
      <x:c r="E237" s="36" t="str">
        <x:f>IF(OR(A237="",B237="",C237="",D237=""),"",A237&amp;"-"&amp;B237&amp;"-"&amp;TEXT(C237,"0000")&amp;"-"&amp;TEXT(D237,"0000"))</x:f>
      </x:c>
      <x:c r="F237" s="36" t="str">
        <x:v>R0</x:v>
      </x:c>
      <x:c r="G237" s="40"/>
      <x:c r="H237" s="40"/>
      <x:c r="I237" s="36"/>
      <x:c r="J237" s="36"/>
      <x:c r="K237" s="36"/>
      <x:c r="L237" s="44"/>
      <x:c r="M237" s="36" t="str">
        <x:v>MYR</x:v>
      </x:c>
      <x:c r="N237" s="36"/>
      <x:c r="O237" s="36"/>
      <x:c r="P237" s="40"/>
      <x:c r="Q237" s="36" t="str">
        <x:f>IF(P237="","",P237-TODAY())</x:f>
      </x:c>
      <x:c r="R237" s="36" t="str">
        <x:f>IF(E237="","",IF(X237="DUPLICATE","STOP — DUPLICATE",IF(OR(N237="Completed",N237="Cancelled",N237="Rejected",N237="Superseded"),"Closed",IF(P237="","No due date",IF(Q237&lt;0,"OVERDUE",IF(Q237&lt;=7,"DUE SOON","Open"))))))</x:f>
      </x:c>
      <x:c r="S237" s="36"/>
      <x:c r="T237" s="36"/>
      <x:c r="U237" s="36"/>
      <x:c r="V237" s="42"/>
      <x:c r="W237" s="36"/>
      <x:c r="X237" s="36" t="str">
        <x:f>IF(E237="","",IF(COUNTIF($E$7:$E$506,E237)&gt;1,"DUPLICATE","OK"))</x:f>
      </x:c>
    </x:row>
    <x:row r="238">
      <x:c r="A238" s="36" t="str">
        <x:v>NEX</x:v>
      </x:c>
      <x:c r="B238" s="36"/>
      <x:c r="C238" s="38"/>
      <x:c r="D238" s="38"/>
      <x:c r="E238" s="36" t="str">
        <x:f>IF(OR(A238="",B238="",C238="",D238=""),"",A238&amp;"-"&amp;B238&amp;"-"&amp;TEXT(C238,"0000")&amp;"-"&amp;TEXT(D238,"0000"))</x:f>
      </x:c>
      <x:c r="F238" s="36" t="str">
        <x:v>R0</x:v>
      </x:c>
      <x:c r="G238" s="40"/>
      <x:c r="H238" s="40"/>
      <x:c r="I238" s="36"/>
      <x:c r="J238" s="36"/>
      <x:c r="K238" s="36"/>
      <x:c r="L238" s="44"/>
      <x:c r="M238" s="36" t="str">
        <x:v>MYR</x:v>
      </x:c>
      <x:c r="N238" s="36"/>
      <x:c r="O238" s="36"/>
      <x:c r="P238" s="40"/>
      <x:c r="Q238" s="36" t="str">
        <x:f>IF(P238="","",P238-TODAY())</x:f>
      </x:c>
      <x:c r="R238" s="36" t="str">
        <x:f>IF(E238="","",IF(X238="DUPLICATE","STOP — DUPLICATE",IF(OR(N238="Completed",N238="Cancelled",N238="Rejected",N238="Superseded"),"Closed",IF(P238="","No due date",IF(Q238&lt;0,"OVERDUE",IF(Q238&lt;=7,"DUE SOON","Open"))))))</x:f>
      </x:c>
      <x:c r="S238" s="36"/>
      <x:c r="T238" s="36"/>
      <x:c r="U238" s="36"/>
      <x:c r="V238" s="42"/>
      <x:c r="W238" s="36"/>
      <x:c r="X238" s="36" t="str">
        <x:f>IF(E238="","",IF(COUNTIF($E$7:$E$506,E238)&gt;1,"DUPLICATE","OK"))</x:f>
      </x:c>
    </x:row>
    <x:row r="239">
      <x:c r="A239" s="36" t="str">
        <x:v>NEX</x:v>
      </x:c>
      <x:c r="B239" s="36"/>
      <x:c r="C239" s="38"/>
      <x:c r="D239" s="38"/>
      <x:c r="E239" s="36" t="str">
        <x:f>IF(OR(A239="",B239="",C239="",D239=""),"",A239&amp;"-"&amp;B239&amp;"-"&amp;TEXT(C239,"0000")&amp;"-"&amp;TEXT(D239,"0000"))</x:f>
      </x:c>
      <x:c r="F239" s="36" t="str">
        <x:v>R0</x:v>
      </x:c>
      <x:c r="G239" s="40"/>
      <x:c r="H239" s="40"/>
      <x:c r="I239" s="36"/>
      <x:c r="J239" s="36"/>
      <x:c r="K239" s="36"/>
      <x:c r="L239" s="44"/>
      <x:c r="M239" s="36" t="str">
        <x:v>MYR</x:v>
      </x:c>
      <x:c r="N239" s="36"/>
      <x:c r="O239" s="36"/>
      <x:c r="P239" s="40"/>
      <x:c r="Q239" s="36" t="str">
        <x:f>IF(P239="","",P239-TODAY())</x:f>
      </x:c>
      <x:c r="R239" s="36" t="str">
        <x:f>IF(E239="","",IF(X239="DUPLICATE","STOP — DUPLICATE",IF(OR(N239="Completed",N239="Cancelled",N239="Rejected",N239="Superseded"),"Closed",IF(P239="","No due date",IF(Q239&lt;0,"OVERDUE",IF(Q239&lt;=7,"DUE SOON","Open"))))))</x:f>
      </x:c>
      <x:c r="S239" s="36"/>
      <x:c r="T239" s="36"/>
      <x:c r="U239" s="36"/>
      <x:c r="V239" s="42"/>
      <x:c r="W239" s="36"/>
      <x:c r="X239" s="36" t="str">
        <x:f>IF(E239="","",IF(COUNTIF($E$7:$E$506,E239)&gt;1,"DUPLICATE","OK"))</x:f>
      </x:c>
    </x:row>
    <x:row r="240">
      <x:c r="A240" s="36" t="str">
        <x:v>NEX</x:v>
      </x:c>
      <x:c r="B240" s="36"/>
      <x:c r="C240" s="38"/>
      <x:c r="D240" s="38"/>
      <x:c r="E240" s="36" t="str">
        <x:f>IF(OR(A240="",B240="",C240="",D240=""),"",A240&amp;"-"&amp;B240&amp;"-"&amp;TEXT(C240,"0000")&amp;"-"&amp;TEXT(D240,"0000"))</x:f>
      </x:c>
      <x:c r="F240" s="36" t="str">
        <x:v>R0</x:v>
      </x:c>
      <x:c r="G240" s="40"/>
      <x:c r="H240" s="40"/>
      <x:c r="I240" s="36"/>
      <x:c r="J240" s="36"/>
      <x:c r="K240" s="36"/>
      <x:c r="L240" s="44"/>
      <x:c r="M240" s="36" t="str">
        <x:v>MYR</x:v>
      </x:c>
      <x:c r="N240" s="36"/>
      <x:c r="O240" s="36"/>
      <x:c r="P240" s="40"/>
      <x:c r="Q240" s="36" t="str">
        <x:f>IF(P240="","",P240-TODAY())</x:f>
      </x:c>
      <x:c r="R240" s="36" t="str">
        <x:f>IF(E240="","",IF(X240="DUPLICATE","STOP — DUPLICATE",IF(OR(N240="Completed",N240="Cancelled",N240="Rejected",N240="Superseded"),"Closed",IF(P240="","No due date",IF(Q240&lt;0,"OVERDUE",IF(Q240&lt;=7,"DUE SOON","Open"))))))</x:f>
      </x:c>
      <x:c r="S240" s="36"/>
      <x:c r="T240" s="36"/>
      <x:c r="U240" s="36"/>
      <x:c r="V240" s="42"/>
      <x:c r="W240" s="36"/>
      <x:c r="X240" s="36" t="str">
        <x:f>IF(E240="","",IF(COUNTIF($E$7:$E$506,E240)&gt;1,"DUPLICATE","OK"))</x:f>
      </x:c>
    </x:row>
    <x:row r="241">
      <x:c r="A241" s="36" t="str">
        <x:v>NEX</x:v>
      </x:c>
      <x:c r="B241" s="36"/>
      <x:c r="C241" s="38"/>
      <x:c r="D241" s="38"/>
      <x:c r="E241" s="36" t="str">
        <x:f>IF(OR(A241="",B241="",C241="",D241=""),"",A241&amp;"-"&amp;B241&amp;"-"&amp;TEXT(C241,"0000")&amp;"-"&amp;TEXT(D241,"0000"))</x:f>
      </x:c>
      <x:c r="F241" s="36" t="str">
        <x:v>R0</x:v>
      </x:c>
      <x:c r="G241" s="40"/>
      <x:c r="H241" s="40"/>
      <x:c r="I241" s="36"/>
      <x:c r="J241" s="36"/>
      <x:c r="K241" s="36"/>
      <x:c r="L241" s="44"/>
      <x:c r="M241" s="36" t="str">
        <x:v>MYR</x:v>
      </x:c>
      <x:c r="N241" s="36"/>
      <x:c r="O241" s="36"/>
      <x:c r="P241" s="40"/>
      <x:c r="Q241" s="36" t="str">
        <x:f>IF(P241="","",P241-TODAY())</x:f>
      </x:c>
      <x:c r="R241" s="36" t="str">
        <x:f>IF(E241="","",IF(X241="DUPLICATE","STOP — DUPLICATE",IF(OR(N241="Completed",N241="Cancelled",N241="Rejected",N241="Superseded"),"Closed",IF(P241="","No due date",IF(Q241&lt;0,"OVERDUE",IF(Q241&lt;=7,"DUE SOON","Open"))))))</x:f>
      </x:c>
      <x:c r="S241" s="36"/>
      <x:c r="T241" s="36"/>
      <x:c r="U241" s="36"/>
      <x:c r="V241" s="42"/>
      <x:c r="W241" s="36"/>
      <x:c r="X241" s="36" t="str">
        <x:f>IF(E241="","",IF(COUNTIF($E$7:$E$506,E241)&gt;1,"DUPLICATE","OK"))</x:f>
      </x:c>
    </x:row>
    <x:row r="242">
      <x:c r="A242" s="36" t="str">
        <x:v>NEX</x:v>
      </x:c>
      <x:c r="B242" s="36"/>
      <x:c r="C242" s="38"/>
      <x:c r="D242" s="38"/>
      <x:c r="E242" s="36" t="str">
        <x:f>IF(OR(A242="",B242="",C242="",D242=""),"",A242&amp;"-"&amp;B242&amp;"-"&amp;TEXT(C242,"0000")&amp;"-"&amp;TEXT(D242,"0000"))</x:f>
      </x:c>
      <x:c r="F242" s="36" t="str">
        <x:v>R0</x:v>
      </x:c>
      <x:c r="G242" s="40"/>
      <x:c r="H242" s="40"/>
      <x:c r="I242" s="36"/>
      <x:c r="J242" s="36"/>
      <x:c r="K242" s="36"/>
      <x:c r="L242" s="44"/>
      <x:c r="M242" s="36" t="str">
        <x:v>MYR</x:v>
      </x:c>
      <x:c r="N242" s="36"/>
      <x:c r="O242" s="36"/>
      <x:c r="P242" s="40"/>
      <x:c r="Q242" s="36" t="str">
        <x:f>IF(P242="","",P242-TODAY())</x:f>
      </x:c>
      <x:c r="R242" s="36" t="str">
        <x:f>IF(E242="","",IF(X242="DUPLICATE","STOP — DUPLICATE",IF(OR(N242="Completed",N242="Cancelled",N242="Rejected",N242="Superseded"),"Closed",IF(P242="","No due date",IF(Q242&lt;0,"OVERDUE",IF(Q242&lt;=7,"DUE SOON","Open"))))))</x:f>
      </x:c>
      <x:c r="S242" s="36"/>
      <x:c r="T242" s="36"/>
      <x:c r="U242" s="36"/>
      <x:c r="V242" s="42"/>
      <x:c r="W242" s="36"/>
      <x:c r="X242" s="36" t="str">
        <x:f>IF(E242="","",IF(COUNTIF($E$7:$E$506,E242)&gt;1,"DUPLICATE","OK"))</x:f>
      </x:c>
    </x:row>
    <x:row r="243">
      <x:c r="A243" s="36" t="str">
        <x:v>NEX</x:v>
      </x:c>
      <x:c r="B243" s="36"/>
      <x:c r="C243" s="38"/>
      <x:c r="D243" s="38"/>
      <x:c r="E243" s="36" t="str">
        <x:f>IF(OR(A243="",B243="",C243="",D243=""),"",A243&amp;"-"&amp;B243&amp;"-"&amp;TEXT(C243,"0000")&amp;"-"&amp;TEXT(D243,"0000"))</x:f>
      </x:c>
      <x:c r="F243" s="36" t="str">
        <x:v>R0</x:v>
      </x:c>
      <x:c r="G243" s="40"/>
      <x:c r="H243" s="40"/>
      <x:c r="I243" s="36"/>
      <x:c r="J243" s="36"/>
      <x:c r="K243" s="36"/>
      <x:c r="L243" s="44"/>
      <x:c r="M243" s="36" t="str">
        <x:v>MYR</x:v>
      </x:c>
      <x:c r="N243" s="36"/>
      <x:c r="O243" s="36"/>
      <x:c r="P243" s="40"/>
      <x:c r="Q243" s="36" t="str">
        <x:f>IF(P243="","",P243-TODAY())</x:f>
      </x:c>
      <x:c r="R243" s="36" t="str">
        <x:f>IF(E243="","",IF(X243="DUPLICATE","STOP — DUPLICATE",IF(OR(N243="Completed",N243="Cancelled",N243="Rejected",N243="Superseded"),"Closed",IF(P243="","No due date",IF(Q243&lt;0,"OVERDUE",IF(Q243&lt;=7,"DUE SOON","Open"))))))</x:f>
      </x:c>
      <x:c r="S243" s="36"/>
      <x:c r="T243" s="36"/>
      <x:c r="U243" s="36"/>
      <x:c r="V243" s="42"/>
      <x:c r="W243" s="36"/>
      <x:c r="X243" s="36" t="str">
        <x:f>IF(E243="","",IF(COUNTIF($E$7:$E$506,E243)&gt;1,"DUPLICATE","OK"))</x:f>
      </x:c>
    </x:row>
    <x:row r="244">
      <x:c r="A244" s="36" t="str">
        <x:v>NEX</x:v>
      </x:c>
      <x:c r="B244" s="36"/>
      <x:c r="C244" s="38"/>
      <x:c r="D244" s="38"/>
      <x:c r="E244" s="36" t="str">
        <x:f>IF(OR(A244="",B244="",C244="",D244=""),"",A244&amp;"-"&amp;B244&amp;"-"&amp;TEXT(C244,"0000")&amp;"-"&amp;TEXT(D244,"0000"))</x:f>
      </x:c>
      <x:c r="F244" s="36" t="str">
        <x:v>R0</x:v>
      </x:c>
      <x:c r="G244" s="40"/>
      <x:c r="H244" s="40"/>
      <x:c r="I244" s="36"/>
      <x:c r="J244" s="36"/>
      <x:c r="K244" s="36"/>
      <x:c r="L244" s="44"/>
      <x:c r="M244" s="36" t="str">
        <x:v>MYR</x:v>
      </x:c>
      <x:c r="N244" s="36"/>
      <x:c r="O244" s="36"/>
      <x:c r="P244" s="40"/>
      <x:c r="Q244" s="36" t="str">
        <x:f>IF(P244="","",P244-TODAY())</x:f>
      </x:c>
      <x:c r="R244" s="36" t="str">
        <x:f>IF(E244="","",IF(X244="DUPLICATE","STOP — DUPLICATE",IF(OR(N244="Completed",N244="Cancelled",N244="Rejected",N244="Superseded"),"Closed",IF(P244="","No due date",IF(Q244&lt;0,"OVERDUE",IF(Q244&lt;=7,"DUE SOON","Open"))))))</x:f>
      </x:c>
      <x:c r="S244" s="36"/>
      <x:c r="T244" s="36"/>
      <x:c r="U244" s="36"/>
      <x:c r="V244" s="42"/>
      <x:c r="W244" s="36"/>
      <x:c r="X244" s="36" t="str">
        <x:f>IF(E244="","",IF(COUNTIF($E$7:$E$506,E244)&gt;1,"DUPLICATE","OK"))</x:f>
      </x:c>
    </x:row>
    <x:row r="245">
      <x:c r="A245" s="36" t="str">
        <x:v>NEX</x:v>
      </x:c>
      <x:c r="B245" s="36"/>
      <x:c r="C245" s="38"/>
      <x:c r="D245" s="38"/>
      <x:c r="E245" s="36" t="str">
        <x:f>IF(OR(A245="",B245="",C245="",D245=""),"",A245&amp;"-"&amp;B245&amp;"-"&amp;TEXT(C245,"0000")&amp;"-"&amp;TEXT(D245,"0000"))</x:f>
      </x:c>
      <x:c r="F245" s="36" t="str">
        <x:v>R0</x:v>
      </x:c>
      <x:c r="G245" s="40"/>
      <x:c r="H245" s="40"/>
      <x:c r="I245" s="36"/>
      <x:c r="J245" s="36"/>
      <x:c r="K245" s="36"/>
      <x:c r="L245" s="44"/>
      <x:c r="M245" s="36" t="str">
        <x:v>MYR</x:v>
      </x:c>
      <x:c r="N245" s="36"/>
      <x:c r="O245" s="36"/>
      <x:c r="P245" s="40"/>
      <x:c r="Q245" s="36" t="str">
        <x:f>IF(P245="","",P245-TODAY())</x:f>
      </x:c>
      <x:c r="R245" s="36" t="str">
        <x:f>IF(E245="","",IF(X245="DUPLICATE","STOP — DUPLICATE",IF(OR(N245="Completed",N245="Cancelled",N245="Rejected",N245="Superseded"),"Closed",IF(P245="","No due date",IF(Q245&lt;0,"OVERDUE",IF(Q245&lt;=7,"DUE SOON","Open"))))))</x:f>
      </x:c>
      <x:c r="S245" s="36"/>
      <x:c r="T245" s="36"/>
      <x:c r="U245" s="36"/>
      <x:c r="V245" s="42"/>
      <x:c r="W245" s="36"/>
      <x:c r="X245" s="36" t="str">
        <x:f>IF(E245="","",IF(COUNTIF($E$7:$E$506,E245)&gt;1,"DUPLICATE","OK"))</x:f>
      </x:c>
    </x:row>
    <x:row r="246">
      <x:c r="A246" s="36" t="str">
        <x:v>NEX</x:v>
      </x:c>
      <x:c r="B246" s="36"/>
      <x:c r="C246" s="38"/>
      <x:c r="D246" s="38"/>
      <x:c r="E246" s="36" t="str">
        <x:f>IF(OR(A246="",B246="",C246="",D246=""),"",A246&amp;"-"&amp;B246&amp;"-"&amp;TEXT(C246,"0000")&amp;"-"&amp;TEXT(D246,"0000"))</x:f>
      </x:c>
      <x:c r="F246" s="36" t="str">
        <x:v>R0</x:v>
      </x:c>
      <x:c r="G246" s="40"/>
      <x:c r="H246" s="40"/>
      <x:c r="I246" s="36"/>
      <x:c r="J246" s="36"/>
      <x:c r="K246" s="36"/>
      <x:c r="L246" s="44"/>
      <x:c r="M246" s="36" t="str">
        <x:v>MYR</x:v>
      </x:c>
      <x:c r="N246" s="36"/>
      <x:c r="O246" s="36"/>
      <x:c r="P246" s="40"/>
      <x:c r="Q246" s="36" t="str">
        <x:f>IF(P246="","",P246-TODAY())</x:f>
      </x:c>
      <x:c r="R246" s="36" t="str">
        <x:f>IF(E246="","",IF(X246="DUPLICATE","STOP — DUPLICATE",IF(OR(N246="Completed",N246="Cancelled",N246="Rejected",N246="Superseded"),"Closed",IF(P246="","No due date",IF(Q246&lt;0,"OVERDUE",IF(Q246&lt;=7,"DUE SOON","Open"))))))</x:f>
      </x:c>
      <x:c r="S246" s="36"/>
      <x:c r="T246" s="36"/>
      <x:c r="U246" s="36"/>
      <x:c r="V246" s="42"/>
      <x:c r="W246" s="36"/>
      <x:c r="X246" s="36" t="str">
        <x:f>IF(E246="","",IF(COUNTIF($E$7:$E$506,E246)&gt;1,"DUPLICATE","OK"))</x:f>
      </x:c>
    </x:row>
    <x:row r="247">
      <x:c r="A247" s="36" t="str">
        <x:v>NEX</x:v>
      </x:c>
      <x:c r="B247" s="36"/>
      <x:c r="C247" s="38"/>
      <x:c r="D247" s="38"/>
      <x:c r="E247" s="36" t="str">
        <x:f>IF(OR(A247="",B247="",C247="",D247=""),"",A247&amp;"-"&amp;B247&amp;"-"&amp;TEXT(C247,"0000")&amp;"-"&amp;TEXT(D247,"0000"))</x:f>
      </x:c>
      <x:c r="F247" s="36" t="str">
        <x:v>R0</x:v>
      </x:c>
      <x:c r="G247" s="40"/>
      <x:c r="H247" s="40"/>
      <x:c r="I247" s="36"/>
      <x:c r="J247" s="36"/>
      <x:c r="K247" s="36"/>
      <x:c r="L247" s="44"/>
      <x:c r="M247" s="36" t="str">
        <x:v>MYR</x:v>
      </x:c>
      <x:c r="N247" s="36"/>
      <x:c r="O247" s="36"/>
      <x:c r="P247" s="40"/>
      <x:c r="Q247" s="36" t="str">
        <x:f>IF(P247="","",P247-TODAY())</x:f>
      </x:c>
      <x:c r="R247" s="36" t="str">
        <x:f>IF(E247="","",IF(X247="DUPLICATE","STOP — DUPLICATE",IF(OR(N247="Completed",N247="Cancelled",N247="Rejected",N247="Superseded"),"Closed",IF(P247="","No due date",IF(Q247&lt;0,"OVERDUE",IF(Q247&lt;=7,"DUE SOON","Open"))))))</x:f>
      </x:c>
      <x:c r="S247" s="36"/>
      <x:c r="T247" s="36"/>
      <x:c r="U247" s="36"/>
      <x:c r="V247" s="42"/>
      <x:c r="W247" s="36"/>
      <x:c r="X247" s="36" t="str">
        <x:f>IF(E247="","",IF(COUNTIF($E$7:$E$506,E247)&gt;1,"DUPLICATE","OK"))</x:f>
      </x:c>
    </x:row>
    <x:row r="248">
      <x:c r="A248" s="36" t="str">
        <x:v>NEX</x:v>
      </x:c>
      <x:c r="B248" s="36"/>
      <x:c r="C248" s="38"/>
      <x:c r="D248" s="38"/>
      <x:c r="E248" s="36" t="str">
        <x:f>IF(OR(A248="",B248="",C248="",D248=""),"",A248&amp;"-"&amp;B248&amp;"-"&amp;TEXT(C248,"0000")&amp;"-"&amp;TEXT(D248,"0000"))</x:f>
      </x:c>
      <x:c r="F248" s="36" t="str">
        <x:v>R0</x:v>
      </x:c>
      <x:c r="G248" s="40"/>
      <x:c r="H248" s="40"/>
      <x:c r="I248" s="36"/>
      <x:c r="J248" s="36"/>
      <x:c r="K248" s="36"/>
      <x:c r="L248" s="44"/>
      <x:c r="M248" s="36" t="str">
        <x:v>MYR</x:v>
      </x:c>
      <x:c r="N248" s="36"/>
      <x:c r="O248" s="36"/>
      <x:c r="P248" s="40"/>
      <x:c r="Q248" s="36" t="str">
        <x:f>IF(P248="","",P248-TODAY())</x:f>
      </x:c>
      <x:c r="R248" s="36" t="str">
        <x:f>IF(E248="","",IF(X248="DUPLICATE","STOP — DUPLICATE",IF(OR(N248="Completed",N248="Cancelled",N248="Rejected",N248="Superseded"),"Closed",IF(P248="","No due date",IF(Q248&lt;0,"OVERDUE",IF(Q248&lt;=7,"DUE SOON","Open"))))))</x:f>
      </x:c>
      <x:c r="S248" s="36"/>
      <x:c r="T248" s="36"/>
      <x:c r="U248" s="36"/>
      <x:c r="V248" s="42"/>
      <x:c r="W248" s="36"/>
      <x:c r="X248" s="36" t="str">
        <x:f>IF(E248="","",IF(COUNTIF($E$7:$E$506,E248)&gt;1,"DUPLICATE","OK"))</x:f>
      </x:c>
    </x:row>
    <x:row r="249">
      <x:c r="A249" s="36" t="str">
        <x:v>NEX</x:v>
      </x:c>
      <x:c r="B249" s="36"/>
      <x:c r="C249" s="38"/>
      <x:c r="D249" s="38"/>
      <x:c r="E249" s="36" t="str">
        <x:f>IF(OR(A249="",B249="",C249="",D249=""),"",A249&amp;"-"&amp;B249&amp;"-"&amp;TEXT(C249,"0000")&amp;"-"&amp;TEXT(D249,"0000"))</x:f>
      </x:c>
      <x:c r="F249" s="36" t="str">
        <x:v>R0</x:v>
      </x:c>
      <x:c r="G249" s="40"/>
      <x:c r="H249" s="40"/>
      <x:c r="I249" s="36"/>
      <x:c r="J249" s="36"/>
      <x:c r="K249" s="36"/>
      <x:c r="L249" s="44"/>
      <x:c r="M249" s="36" t="str">
        <x:v>MYR</x:v>
      </x:c>
      <x:c r="N249" s="36"/>
      <x:c r="O249" s="36"/>
      <x:c r="P249" s="40"/>
      <x:c r="Q249" s="36" t="str">
        <x:f>IF(P249="","",P249-TODAY())</x:f>
      </x:c>
      <x:c r="R249" s="36" t="str">
        <x:f>IF(E249="","",IF(X249="DUPLICATE","STOP — DUPLICATE",IF(OR(N249="Completed",N249="Cancelled",N249="Rejected",N249="Superseded"),"Closed",IF(P249="","No due date",IF(Q249&lt;0,"OVERDUE",IF(Q249&lt;=7,"DUE SOON","Open"))))))</x:f>
      </x:c>
      <x:c r="S249" s="36"/>
      <x:c r="T249" s="36"/>
      <x:c r="U249" s="36"/>
      <x:c r="V249" s="42"/>
      <x:c r="W249" s="36"/>
      <x:c r="X249" s="36" t="str">
        <x:f>IF(E249="","",IF(COUNTIF($E$7:$E$506,E249)&gt;1,"DUPLICATE","OK"))</x:f>
      </x:c>
    </x:row>
    <x:row r="250">
      <x:c r="A250" s="36" t="str">
        <x:v>NEX</x:v>
      </x:c>
      <x:c r="B250" s="36"/>
      <x:c r="C250" s="38"/>
      <x:c r="D250" s="38"/>
      <x:c r="E250" s="36" t="str">
        <x:f>IF(OR(A250="",B250="",C250="",D250=""),"",A250&amp;"-"&amp;B250&amp;"-"&amp;TEXT(C250,"0000")&amp;"-"&amp;TEXT(D250,"0000"))</x:f>
      </x:c>
      <x:c r="F250" s="36" t="str">
        <x:v>R0</x:v>
      </x:c>
      <x:c r="G250" s="40"/>
      <x:c r="H250" s="40"/>
      <x:c r="I250" s="36"/>
      <x:c r="J250" s="36"/>
      <x:c r="K250" s="36"/>
      <x:c r="L250" s="44"/>
      <x:c r="M250" s="36" t="str">
        <x:v>MYR</x:v>
      </x:c>
      <x:c r="N250" s="36"/>
      <x:c r="O250" s="36"/>
      <x:c r="P250" s="40"/>
      <x:c r="Q250" s="36" t="str">
        <x:f>IF(P250="","",P250-TODAY())</x:f>
      </x:c>
      <x:c r="R250" s="36" t="str">
        <x:f>IF(E250="","",IF(X250="DUPLICATE","STOP — DUPLICATE",IF(OR(N250="Completed",N250="Cancelled",N250="Rejected",N250="Superseded"),"Closed",IF(P250="","No due date",IF(Q250&lt;0,"OVERDUE",IF(Q250&lt;=7,"DUE SOON","Open"))))))</x:f>
      </x:c>
      <x:c r="S250" s="36"/>
      <x:c r="T250" s="36"/>
      <x:c r="U250" s="36"/>
      <x:c r="V250" s="42"/>
      <x:c r="W250" s="36"/>
      <x:c r="X250" s="36" t="str">
        <x:f>IF(E250="","",IF(COUNTIF($E$7:$E$506,E250)&gt;1,"DUPLICATE","OK"))</x:f>
      </x:c>
    </x:row>
    <x:row r="251">
      <x:c r="A251" s="36" t="str">
        <x:v>NEX</x:v>
      </x:c>
      <x:c r="B251" s="36"/>
      <x:c r="C251" s="38"/>
      <x:c r="D251" s="38"/>
      <x:c r="E251" s="36" t="str">
        <x:f>IF(OR(A251="",B251="",C251="",D251=""),"",A251&amp;"-"&amp;B251&amp;"-"&amp;TEXT(C251,"0000")&amp;"-"&amp;TEXT(D251,"0000"))</x:f>
      </x:c>
      <x:c r="F251" s="36" t="str">
        <x:v>R0</x:v>
      </x:c>
      <x:c r="G251" s="40"/>
      <x:c r="H251" s="40"/>
      <x:c r="I251" s="36"/>
      <x:c r="J251" s="36"/>
      <x:c r="K251" s="36"/>
      <x:c r="L251" s="44"/>
      <x:c r="M251" s="36" t="str">
        <x:v>MYR</x:v>
      </x:c>
      <x:c r="N251" s="36"/>
      <x:c r="O251" s="36"/>
      <x:c r="P251" s="40"/>
      <x:c r="Q251" s="36" t="str">
        <x:f>IF(P251="","",P251-TODAY())</x:f>
      </x:c>
      <x:c r="R251" s="36" t="str">
        <x:f>IF(E251="","",IF(X251="DUPLICATE","STOP — DUPLICATE",IF(OR(N251="Completed",N251="Cancelled",N251="Rejected",N251="Superseded"),"Closed",IF(P251="","No due date",IF(Q251&lt;0,"OVERDUE",IF(Q251&lt;=7,"DUE SOON","Open"))))))</x:f>
      </x:c>
      <x:c r="S251" s="36"/>
      <x:c r="T251" s="36"/>
      <x:c r="U251" s="36"/>
      <x:c r="V251" s="42"/>
      <x:c r="W251" s="36"/>
      <x:c r="X251" s="36" t="str">
        <x:f>IF(E251="","",IF(COUNTIF($E$7:$E$506,E251)&gt;1,"DUPLICATE","OK"))</x:f>
      </x:c>
    </x:row>
    <x:row r="252">
      <x:c r="A252" s="36" t="str">
        <x:v>NEX</x:v>
      </x:c>
      <x:c r="B252" s="36"/>
      <x:c r="C252" s="38"/>
      <x:c r="D252" s="38"/>
      <x:c r="E252" s="36" t="str">
        <x:f>IF(OR(A252="",B252="",C252="",D252=""),"",A252&amp;"-"&amp;B252&amp;"-"&amp;TEXT(C252,"0000")&amp;"-"&amp;TEXT(D252,"0000"))</x:f>
      </x:c>
      <x:c r="F252" s="36" t="str">
        <x:v>R0</x:v>
      </x:c>
      <x:c r="G252" s="40"/>
      <x:c r="H252" s="40"/>
      <x:c r="I252" s="36"/>
      <x:c r="J252" s="36"/>
      <x:c r="K252" s="36"/>
      <x:c r="L252" s="44"/>
      <x:c r="M252" s="36" t="str">
        <x:v>MYR</x:v>
      </x:c>
      <x:c r="N252" s="36"/>
      <x:c r="O252" s="36"/>
      <x:c r="P252" s="40"/>
      <x:c r="Q252" s="36" t="str">
        <x:f>IF(P252="","",P252-TODAY())</x:f>
      </x:c>
      <x:c r="R252" s="36" t="str">
        <x:f>IF(E252="","",IF(X252="DUPLICATE","STOP — DUPLICATE",IF(OR(N252="Completed",N252="Cancelled",N252="Rejected",N252="Superseded"),"Closed",IF(P252="","No due date",IF(Q252&lt;0,"OVERDUE",IF(Q252&lt;=7,"DUE SOON","Open"))))))</x:f>
      </x:c>
      <x:c r="S252" s="36"/>
      <x:c r="T252" s="36"/>
      <x:c r="U252" s="36"/>
      <x:c r="V252" s="42"/>
      <x:c r="W252" s="36"/>
      <x:c r="X252" s="36" t="str">
        <x:f>IF(E252="","",IF(COUNTIF($E$7:$E$506,E252)&gt;1,"DUPLICATE","OK"))</x:f>
      </x:c>
    </x:row>
    <x:row r="253">
      <x:c r="A253" s="36" t="str">
        <x:v>NEX</x:v>
      </x:c>
      <x:c r="B253" s="36"/>
      <x:c r="C253" s="38"/>
      <x:c r="D253" s="38"/>
      <x:c r="E253" s="36" t="str">
        <x:f>IF(OR(A253="",B253="",C253="",D253=""),"",A253&amp;"-"&amp;B253&amp;"-"&amp;TEXT(C253,"0000")&amp;"-"&amp;TEXT(D253,"0000"))</x:f>
      </x:c>
      <x:c r="F253" s="36" t="str">
        <x:v>R0</x:v>
      </x:c>
      <x:c r="G253" s="40"/>
      <x:c r="H253" s="40"/>
      <x:c r="I253" s="36"/>
      <x:c r="J253" s="36"/>
      <x:c r="K253" s="36"/>
      <x:c r="L253" s="44"/>
      <x:c r="M253" s="36" t="str">
        <x:v>MYR</x:v>
      </x:c>
      <x:c r="N253" s="36"/>
      <x:c r="O253" s="36"/>
      <x:c r="P253" s="40"/>
      <x:c r="Q253" s="36" t="str">
        <x:f>IF(P253="","",P253-TODAY())</x:f>
      </x:c>
      <x:c r="R253" s="36" t="str">
        <x:f>IF(E253="","",IF(X253="DUPLICATE","STOP — DUPLICATE",IF(OR(N253="Completed",N253="Cancelled",N253="Rejected",N253="Superseded"),"Closed",IF(P253="","No due date",IF(Q253&lt;0,"OVERDUE",IF(Q253&lt;=7,"DUE SOON","Open"))))))</x:f>
      </x:c>
      <x:c r="S253" s="36"/>
      <x:c r="T253" s="36"/>
      <x:c r="U253" s="36"/>
      <x:c r="V253" s="42"/>
      <x:c r="W253" s="36"/>
      <x:c r="X253" s="36" t="str">
        <x:f>IF(E253="","",IF(COUNTIF($E$7:$E$506,E253)&gt;1,"DUPLICATE","OK"))</x:f>
      </x:c>
    </x:row>
    <x:row r="254">
      <x:c r="A254" s="36" t="str">
        <x:v>NEX</x:v>
      </x:c>
      <x:c r="B254" s="36"/>
      <x:c r="C254" s="38"/>
      <x:c r="D254" s="38"/>
      <x:c r="E254" s="36" t="str">
        <x:f>IF(OR(A254="",B254="",C254="",D254=""),"",A254&amp;"-"&amp;B254&amp;"-"&amp;TEXT(C254,"0000")&amp;"-"&amp;TEXT(D254,"0000"))</x:f>
      </x:c>
      <x:c r="F254" s="36" t="str">
        <x:v>R0</x:v>
      </x:c>
      <x:c r="G254" s="40"/>
      <x:c r="H254" s="40"/>
      <x:c r="I254" s="36"/>
      <x:c r="J254" s="36"/>
      <x:c r="K254" s="36"/>
      <x:c r="L254" s="44"/>
      <x:c r="M254" s="36" t="str">
        <x:v>MYR</x:v>
      </x:c>
      <x:c r="N254" s="36"/>
      <x:c r="O254" s="36"/>
      <x:c r="P254" s="40"/>
      <x:c r="Q254" s="36" t="str">
        <x:f>IF(P254="","",P254-TODAY())</x:f>
      </x:c>
      <x:c r="R254" s="36" t="str">
        <x:f>IF(E254="","",IF(X254="DUPLICATE","STOP — DUPLICATE",IF(OR(N254="Completed",N254="Cancelled",N254="Rejected",N254="Superseded"),"Closed",IF(P254="","No due date",IF(Q254&lt;0,"OVERDUE",IF(Q254&lt;=7,"DUE SOON","Open"))))))</x:f>
      </x:c>
      <x:c r="S254" s="36"/>
      <x:c r="T254" s="36"/>
      <x:c r="U254" s="36"/>
      <x:c r="V254" s="42"/>
      <x:c r="W254" s="36"/>
      <x:c r="X254" s="36" t="str">
        <x:f>IF(E254="","",IF(COUNTIF($E$7:$E$506,E254)&gt;1,"DUPLICATE","OK"))</x:f>
      </x:c>
    </x:row>
    <x:row r="255">
      <x:c r="A255" s="36" t="str">
        <x:v>NEX</x:v>
      </x:c>
      <x:c r="B255" s="36"/>
      <x:c r="C255" s="38"/>
      <x:c r="D255" s="38"/>
      <x:c r="E255" s="36" t="str">
        <x:f>IF(OR(A255="",B255="",C255="",D255=""),"",A255&amp;"-"&amp;B255&amp;"-"&amp;TEXT(C255,"0000")&amp;"-"&amp;TEXT(D255,"0000"))</x:f>
      </x:c>
      <x:c r="F255" s="36" t="str">
        <x:v>R0</x:v>
      </x:c>
      <x:c r="G255" s="40"/>
      <x:c r="H255" s="40"/>
      <x:c r="I255" s="36"/>
      <x:c r="J255" s="36"/>
      <x:c r="K255" s="36"/>
      <x:c r="L255" s="44"/>
      <x:c r="M255" s="36" t="str">
        <x:v>MYR</x:v>
      </x:c>
      <x:c r="N255" s="36"/>
      <x:c r="O255" s="36"/>
      <x:c r="P255" s="40"/>
      <x:c r="Q255" s="36" t="str">
        <x:f>IF(P255="","",P255-TODAY())</x:f>
      </x:c>
      <x:c r="R255" s="36" t="str">
        <x:f>IF(E255="","",IF(X255="DUPLICATE","STOP — DUPLICATE",IF(OR(N255="Completed",N255="Cancelled",N255="Rejected",N255="Superseded"),"Closed",IF(P255="","No due date",IF(Q255&lt;0,"OVERDUE",IF(Q255&lt;=7,"DUE SOON","Open"))))))</x:f>
      </x:c>
      <x:c r="S255" s="36"/>
      <x:c r="T255" s="36"/>
      <x:c r="U255" s="36"/>
      <x:c r="V255" s="42"/>
      <x:c r="W255" s="36"/>
      <x:c r="X255" s="36" t="str">
        <x:f>IF(E255="","",IF(COUNTIF($E$7:$E$506,E255)&gt;1,"DUPLICATE","OK"))</x:f>
      </x:c>
    </x:row>
    <x:row r="256">
      <x:c r="A256" s="36" t="str">
        <x:v>NEX</x:v>
      </x:c>
      <x:c r="B256" s="36"/>
      <x:c r="C256" s="38"/>
      <x:c r="D256" s="38"/>
      <x:c r="E256" s="36" t="str">
        <x:f>IF(OR(A256="",B256="",C256="",D256=""),"",A256&amp;"-"&amp;B256&amp;"-"&amp;TEXT(C256,"0000")&amp;"-"&amp;TEXT(D256,"0000"))</x:f>
      </x:c>
      <x:c r="F256" s="36" t="str">
        <x:v>R0</x:v>
      </x:c>
      <x:c r="G256" s="40"/>
      <x:c r="H256" s="40"/>
      <x:c r="I256" s="36"/>
      <x:c r="J256" s="36"/>
      <x:c r="K256" s="36"/>
      <x:c r="L256" s="44"/>
      <x:c r="M256" s="36" t="str">
        <x:v>MYR</x:v>
      </x:c>
      <x:c r="N256" s="36"/>
      <x:c r="O256" s="36"/>
      <x:c r="P256" s="40"/>
      <x:c r="Q256" s="36" t="str">
        <x:f>IF(P256="","",P256-TODAY())</x:f>
      </x:c>
      <x:c r="R256" s="36" t="str">
        <x:f>IF(E256="","",IF(X256="DUPLICATE","STOP — DUPLICATE",IF(OR(N256="Completed",N256="Cancelled",N256="Rejected",N256="Superseded"),"Closed",IF(P256="","No due date",IF(Q256&lt;0,"OVERDUE",IF(Q256&lt;=7,"DUE SOON","Open"))))))</x:f>
      </x:c>
      <x:c r="S256" s="36"/>
      <x:c r="T256" s="36"/>
      <x:c r="U256" s="36"/>
      <x:c r="V256" s="42"/>
      <x:c r="W256" s="36"/>
      <x:c r="X256" s="36" t="str">
        <x:f>IF(E256="","",IF(COUNTIF($E$7:$E$506,E256)&gt;1,"DUPLICATE","OK"))</x:f>
      </x:c>
    </x:row>
    <x:row r="257">
      <x:c r="A257" s="36" t="str">
        <x:v>NEX</x:v>
      </x:c>
      <x:c r="B257" s="36"/>
      <x:c r="C257" s="38"/>
      <x:c r="D257" s="38"/>
      <x:c r="E257" s="36" t="str">
        <x:f>IF(OR(A257="",B257="",C257="",D257=""),"",A257&amp;"-"&amp;B257&amp;"-"&amp;TEXT(C257,"0000")&amp;"-"&amp;TEXT(D257,"0000"))</x:f>
      </x:c>
      <x:c r="F257" s="36" t="str">
        <x:v>R0</x:v>
      </x:c>
      <x:c r="G257" s="40"/>
      <x:c r="H257" s="40"/>
      <x:c r="I257" s="36"/>
      <x:c r="J257" s="36"/>
      <x:c r="K257" s="36"/>
      <x:c r="L257" s="44"/>
      <x:c r="M257" s="36" t="str">
        <x:v>MYR</x:v>
      </x:c>
      <x:c r="N257" s="36"/>
      <x:c r="O257" s="36"/>
      <x:c r="P257" s="40"/>
      <x:c r="Q257" s="36" t="str">
        <x:f>IF(P257="","",P257-TODAY())</x:f>
      </x:c>
      <x:c r="R257" s="36" t="str">
        <x:f>IF(E257="","",IF(X257="DUPLICATE","STOP — DUPLICATE",IF(OR(N257="Completed",N257="Cancelled",N257="Rejected",N257="Superseded"),"Closed",IF(P257="","No due date",IF(Q257&lt;0,"OVERDUE",IF(Q257&lt;=7,"DUE SOON","Open"))))))</x:f>
      </x:c>
      <x:c r="S257" s="36"/>
      <x:c r="T257" s="36"/>
      <x:c r="U257" s="36"/>
      <x:c r="V257" s="42"/>
      <x:c r="W257" s="36"/>
      <x:c r="X257" s="36" t="str">
        <x:f>IF(E257="","",IF(COUNTIF($E$7:$E$506,E257)&gt;1,"DUPLICATE","OK"))</x:f>
      </x:c>
    </x:row>
    <x:row r="258">
      <x:c r="A258" s="36" t="str">
        <x:v>NEX</x:v>
      </x:c>
      <x:c r="B258" s="36"/>
      <x:c r="C258" s="38"/>
      <x:c r="D258" s="38"/>
      <x:c r="E258" s="36" t="str">
        <x:f>IF(OR(A258="",B258="",C258="",D258=""),"",A258&amp;"-"&amp;B258&amp;"-"&amp;TEXT(C258,"0000")&amp;"-"&amp;TEXT(D258,"0000"))</x:f>
      </x:c>
      <x:c r="F258" s="36" t="str">
        <x:v>R0</x:v>
      </x:c>
      <x:c r="G258" s="40"/>
      <x:c r="H258" s="40"/>
      <x:c r="I258" s="36"/>
      <x:c r="J258" s="36"/>
      <x:c r="K258" s="36"/>
      <x:c r="L258" s="44"/>
      <x:c r="M258" s="36" t="str">
        <x:v>MYR</x:v>
      </x:c>
      <x:c r="N258" s="36"/>
      <x:c r="O258" s="36"/>
      <x:c r="P258" s="40"/>
      <x:c r="Q258" s="36" t="str">
        <x:f>IF(P258="","",P258-TODAY())</x:f>
      </x:c>
      <x:c r="R258" s="36" t="str">
        <x:f>IF(E258="","",IF(X258="DUPLICATE","STOP — DUPLICATE",IF(OR(N258="Completed",N258="Cancelled",N258="Rejected",N258="Superseded"),"Closed",IF(P258="","No due date",IF(Q258&lt;0,"OVERDUE",IF(Q258&lt;=7,"DUE SOON","Open"))))))</x:f>
      </x:c>
      <x:c r="S258" s="36"/>
      <x:c r="T258" s="36"/>
      <x:c r="U258" s="36"/>
      <x:c r="V258" s="42"/>
      <x:c r="W258" s="36"/>
      <x:c r="X258" s="36" t="str">
        <x:f>IF(E258="","",IF(COUNTIF($E$7:$E$506,E258)&gt;1,"DUPLICATE","OK"))</x:f>
      </x:c>
    </x:row>
    <x:row r="259">
      <x:c r="A259" s="36" t="str">
        <x:v>NEX</x:v>
      </x:c>
      <x:c r="B259" s="36"/>
      <x:c r="C259" s="38"/>
      <x:c r="D259" s="38"/>
      <x:c r="E259" s="36" t="str">
        <x:f>IF(OR(A259="",B259="",C259="",D259=""),"",A259&amp;"-"&amp;B259&amp;"-"&amp;TEXT(C259,"0000")&amp;"-"&amp;TEXT(D259,"0000"))</x:f>
      </x:c>
      <x:c r="F259" s="36" t="str">
        <x:v>R0</x:v>
      </x:c>
      <x:c r="G259" s="40"/>
      <x:c r="H259" s="40"/>
      <x:c r="I259" s="36"/>
      <x:c r="J259" s="36"/>
      <x:c r="K259" s="36"/>
      <x:c r="L259" s="44"/>
      <x:c r="M259" s="36" t="str">
        <x:v>MYR</x:v>
      </x:c>
      <x:c r="N259" s="36"/>
      <x:c r="O259" s="36"/>
      <x:c r="P259" s="40"/>
      <x:c r="Q259" s="36" t="str">
        <x:f>IF(P259="","",P259-TODAY())</x:f>
      </x:c>
      <x:c r="R259" s="36" t="str">
        <x:f>IF(E259="","",IF(X259="DUPLICATE","STOP — DUPLICATE",IF(OR(N259="Completed",N259="Cancelled",N259="Rejected",N259="Superseded"),"Closed",IF(P259="","No due date",IF(Q259&lt;0,"OVERDUE",IF(Q259&lt;=7,"DUE SOON","Open"))))))</x:f>
      </x:c>
      <x:c r="S259" s="36"/>
      <x:c r="T259" s="36"/>
      <x:c r="U259" s="36"/>
      <x:c r="V259" s="42"/>
      <x:c r="W259" s="36"/>
      <x:c r="X259" s="36" t="str">
        <x:f>IF(E259="","",IF(COUNTIF($E$7:$E$506,E259)&gt;1,"DUPLICATE","OK"))</x:f>
      </x:c>
    </x:row>
    <x:row r="260">
      <x:c r="A260" s="36" t="str">
        <x:v>NEX</x:v>
      </x:c>
      <x:c r="B260" s="36"/>
      <x:c r="C260" s="38"/>
      <x:c r="D260" s="38"/>
      <x:c r="E260" s="36" t="str">
        <x:f>IF(OR(A260="",B260="",C260="",D260=""),"",A260&amp;"-"&amp;B260&amp;"-"&amp;TEXT(C260,"0000")&amp;"-"&amp;TEXT(D260,"0000"))</x:f>
      </x:c>
      <x:c r="F260" s="36" t="str">
        <x:v>R0</x:v>
      </x:c>
      <x:c r="G260" s="40"/>
      <x:c r="H260" s="40"/>
      <x:c r="I260" s="36"/>
      <x:c r="J260" s="36"/>
      <x:c r="K260" s="36"/>
      <x:c r="L260" s="44"/>
      <x:c r="M260" s="36" t="str">
        <x:v>MYR</x:v>
      </x:c>
      <x:c r="N260" s="36"/>
      <x:c r="O260" s="36"/>
      <x:c r="P260" s="40"/>
      <x:c r="Q260" s="36" t="str">
        <x:f>IF(P260="","",P260-TODAY())</x:f>
      </x:c>
      <x:c r="R260" s="36" t="str">
        <x:f>IF(E260="","",IF(X260="DUPLICATE","STOP — DUPLICATE",IF(OR(N260="Completed",N260="Cancelled",N260="Rejected",N260="Superseded"),"Closed",IF(P260="","No due date",IF(Q260&lt;0,"OVERDUE",IF(Q260&lt;=7,"DUE SOON","Open"))))))</x:f>
      </x:c>
      <x:c r="S260" s="36"/>
      <x:c r="T260" s="36"/>
      <x:c r="U260" s="36"/>
      <x:c r="V260" s="42"/>
      <x:c r="W260" s="36"/>
      <x:c r="X260" s="36" t="str">
        <x:f>IF(E260="","",IF(COUNTIF($E$7:$E$506,E260)&gt;1,"DUPLICATE","OK"))</x:f>
      </x:c>
    </x:row>
    <x:row r="261">
      <x:c r="A261" s="36" t="str">
        <x:v>NEX</x:v>
      </x:c>
      <x:c r="B261" s="36"/>
      <x:c r="C261" s="38"/>
      <x:c r="D261" s="38"/>
      <x:c r="E261" s="36" t="str">
        <x:f>IF(OR(A261="",B261="",C261="",D261=""),"",A261&amp;"-"&amp;B261&amp;"-"&amp;TEXT(C261,"0000")&amp;"-"&amp;TEXT(D261,"0000"))</x:f>
      </x:c>
      <x:c r="F261" s="36" t="str">
        <x:v>R0</x:v>
      </x:c>
      <x:c r="G261" s="40"/>
      <x:c r="H261" s="40"/>
      <x:c r="I261" s="36"/>
      <x:c r="J261" s="36"/>
      <x:c r="K261" s="36"/>
      <x:c r="L261" s="44"/>
      <x:c r="M261" s="36" t="str">
        <x:v>MYR</x:v>
      </x:c>
      <x:c r="N261" s="36"/>
      <x:c r="O261" s="36"/>
      <x:c r="P261" s="40"/>
      <x:c r="Q261" s="36" t="str">
        <x:f>IF(P261="","",P261-TODAY())</x:f>
      </x:c>
      <x:c r="R261" s="36" t="str">
        <x:f>IF(E261="","",IF(X261="DUPLICATE","STOP — DUPLICATE",IF(OR(N261="Completed",N261="Cancelled",N261="Rejected",N261="Superseded"),"Closed",IF(P261="","No due date",IF(Q261&lt;0,"OVERDUE",IF(Q261&lt;=7,"DUE SOON","Open"))))))</x:f>
      </x:c>
      <x:c r="S261" s="36"/>
      <x:c r="T261" s="36"/>
      <x:c r="U261" s="36"/>
      <x:c r="V261" s="42"/>
      <x:c r="W261" s="36"/>
      <x:c r="X261" s="36" t="str">
        <x:f>IF(E261="","",IF(COUNTIF($E$7:$E$506,E261)&gt;1,"DUPLICATE","OK"))</x:f>
      </x:c>
    </x:row>
    <x:row r="262">
      <x:c r="A262" s="36" t="str">
        <x:v>NEX</x:v>
      </x:c>
      <x:c r="B262" s="36"/>
      <x:c r="C262" s="38"/>
      <x:c r="D262" s="38"/>
      <x:c r="E262" s="36" t="str">
        <x:f>IF(OR(A262="",B262="",C262="",D262=""),"",A262&amp;"-"&amp;B262&amp;"-"&amp;TEXT(C262,"0000")&amp;"-"&amp;TEXT(D262,"0000"))</x:f>
      </x:c>
      <x:c r="F262" s="36" t="str">
        <x:v>R0</x:v>
      </x:c>
      <x:c r="G262" s="40"/>
      <x:c r="H262" s="40"/>
      <x:c r="I262" s="36"/>
      <x:c r="J262" s="36"/>
      <x:c r="K262" s="36"/>
      <x:c r="L262" s="44"/>
      <x:c r="M262" s="36" t="str">
        <x:v>MYR</x:v>
      </x:c>
      <x:c r="N262" s="36"/>
      <x:c r="O262" s="36"/>
      <x:c r="P262" s="40"/>
      <x:c r="Q262" s="36" t="str">
        <x:f>IF(P262="","",P262-TODAY())</x:f>
      </x:c>
      <x:c r="R262" s="36" t="str">
        <x:f>IF(E262="","",IF(X262="DUPLICATE","STOP — DUPLICATE",IF(OR(N262="Completed",N262="Cancelled",N262="Rejected",N262="Superseded"),"Closed",IF(P262="","No due date",IF(Q262&lt;0,"OVERDUE",IF(Q262&lt;=7,"DUE SOON","Open"))))))</x:f>
      </x:c>
      <x:c r="S262" s="36"/>
      <x:c r="T262" s="36"/>
      <x:c r="U262" s="36"/>
      <x:c r="V262" s="42"/>
      <x:c r="W262" s="36"/>
      <x:c r="X262" s="36" t="str">
        <x:f>IF(E262="","",IF(COUNTIF($E$7:$E$506,E262)&gt;1,"DUPLICATE","OK"))</x:f>
      </x:c>
    </x:row>
    <x:row r="263">
      <x:c r="A263" s="36" t="str">
        <x:v>NEX</x:v>
      </x:c>
      <x:c r="B263" s="36"/>
      <x:c r="C263" s="38"/>
      <x:c r="D263" s="38"/>
      <x:c r="E263" s="36" t="str">
        <x:f>IF(OR(A263="",B263="",C263="",D263=""),"",A263&amp;"-"&amp;B263&amp;"-"&amp;TEXT(C263,"0000")&amp;"-"&amp;TEXT(D263,"0000"))</x:f>
      </x:c>
      <x:c r="F263" s="36" t="str">
        <x:v>R0</x:v>
      </x:c>
      <x:c r="G263" s="40"/>
      <x:c r="H263" s="40"/>
      <x:c r="I263" s="36"/>
      <x:c r="J263" s="36"/>
      <x:c r="K263" s="36"/>
      <x:c r="L263" s="44"/>
      <x:c r="M263" s="36" t="str">
        <x:v>MYR</x:v>
      </x:c>
      <x:c r="N263" s="36"/>
      <x:c r="O263" s="36"/>
      <x:c r="P263" s="40"/>
      <x:c r="Q263" s="36" t="str">
        <x:f>IF(P263="","",P263-TODAY())</x:f>
      </x:c>
      <x:c r="R263" s="36" t="str">
        <x:f>IF(E263="","",IF(X263="DUPLICATE","STOP — DUPLICATE",IF(OR(N263="Completed",N263="Cancelled",N263="Rejected",N263="Superseded"),"Closed",IF(P263="","No due date",IF(Q263&lt;0,"OVERDUE",IF(Q263&lt;=7,"DUE SOON","Open"))))))</x:f>
      </x:c>
      <x:c r="S263" s="36"/>
      <x:c r="T263" s="36"/>
      <x:c r="U263" s="36"/>
      <x:c r="V263" s="42"/>
      <x:c r="W263" s="36"/>
      <x:c r="X263" s="36" t="str">
        <x:f>IF(E263="","",IF(COUNTIF($E$7:$E$506,E263)&gt;1,"DUPLICATE","OK"))</x:f>
      </x:c>
    </x:row>
    <x:row r="264">
      <x:c r="A264" s="36" t="str">
        <x:v>NEX</x:v>
      </x:c>
      <x:c r="B264" s="36"/>
      <x:c r="C264" s="38"/>
      <x:c r="D264" s="38"/>
      <x:c r="E264" s="36" t="str">
        <x:f>IF(OR(A264="",B264="",C264="",D264=""),"",A264&amp;"-"&amp;B264&amp;"-"&amp;TEXT(C264,"0000")&amp;"-"&amp;TEXT(D264,"0000"))</x:f>
      </x:c>
      <x:c r="F264" s="36" t="str">
        <x:v>R0</x:v>
      </x:c>
      <x:c r="G264" s="40"/>
      <x:c r="H264" s="40"/>
      <x:c r="I264" s="36"/>
      <x:c r="J264" s="36"/>
      <x:c r="K264" s="36"/>
      <x:c r="L264" s="44"/>
      <x:c r="M264" s="36" t="str">
        <x:v>MYR</x:v>
      </x:c>
      <x:c r="N264" s="36"/>
      <x:c r="O264" s="36"/>
      <x:c r="P264" s="40"/>
      <x:c r="Q264" s="36" t="str">
        <x:f>IF(P264="","",P264-TODAY())</x:f>
      </x:c>
      <x:c r="R264" s="36" t="str">
        <x:f>IF(E264="","",IF(X264="DUPLICATE","STOP — DUPLICATE",IF(OR(N264="Completed",N264="Cancelled",N264="Rejected",N264="Superseded"),"Closed",IF(P264="","No due date",IF(Q264&lt;0,"OVERDUE",IF(Q264&lt;=7,"DUE SOON","Open"))))))</x:f>
      </x:c>
      <x:c r="S264" s="36"/>
      <x:c r="T264" s="36"/>
      <x:c r="U264" s="36"/>
      <x:c r="V264" s="42"/>
      <x:c r="W264" s="36"/>
      <x:c r="X264" s="36" t="str">
        <x:f>IF(E264="","",IF(COUNTIF($E$7:$E$506,E264)&gt;1,"DUPLICATE","OK"))</x:f>
      </x:c>
    </x:row>
    <x:row r="265">
      <x:c r="A265" s="36" t="str">
        <x:v>NEX</x:v>
      </x:c>
      <x:c r="B265" s="36"/>
      <x:c r="C265" s="38"/>
      <x:c r="D265" s="38"/>
      <x:c r="E265" s="36" t="str">
        <x:f>IF(OR(A265="",B265="",C265="",D265=""),"",A265&amp;"-"&amp;B265&amp;"-"&amp;TEXT(C265,"0000")&amp;"-"&amp;TEXT(D265,"0000"))</x:f>
      </x:c>
      <x:c r="F265" s="36" t="str">
        <x:v>R0</x:v>
      </x:c>
      <x:c r="G265" s="40"/>
      <x:c r="H265" s="40"/>
      <x:c r="I265" s="36"/>
      <x:c r="J265" s="36"/>
      <x:c r="K265" s="36"/>
      <x:c r="L265" s="44"/>
      <x:c r="M265" s="36" t="str">
        <x:v>MYR</x:v>
      </x:c>
      <x:c r="N265" s="36"/>
      <x:c r="O265" s="36"/>
      <x:c r="P265" s="40"/>
      <x:c r="Q265" s="36" t="str">
        <x:f>IF(P265="","",P265-TODAY())</x:f>
      </x:c>
      <x:c r="R265" s="36" t="str">
        <x:f>IF(E265="","",IF(X265="DUPLICATE","STOP — DUPLICATE",IF(OR(N265="Completed",N265="Cancelled",N265="Rejected",N265="Superseded"),"Closed",IF(P265="","No due date",IF(Q265&lt;0,"OVERDUE",IF(Q265&lt;=7,"DUE SOON","Open"))))))</x:f>
      </x:c>
      <x:c r="S265" s="36"/>
      <x:c r="T265" s="36"/>
      <x:c r="U265" s="36"/>
      <x:c r="V265" s="42"/>
      <x:c r="W265" s="36"/>
      <x:c r="X265" s="36" t="str">
        <x:f>IF(E265="","",IF(COUNTIF($E$7:$E$506,E265)&gt;1,"DUPLICATE","OK"))</x:f>
      </x:c>
    </x:row>
    <x:row r="266">
      <x:c r="A266" s="36" t="str">
        <x:v>NEX</x:v>
      </x:c>
      <x:c r="B266" s="36"/>
      <x:c r="C266" s="38"/>
      <x:c r="D266" s="38"/>
      <x:c r="E266" s="36" t="str">
        <x:f>IF(OR(A266="",B266="",C266="",D266=""),"",A266&amp;"-"&amp;B266&amp;"-"&amp;TEXT(C266,"0000")&amp;"-"&amp;TEXT(D266,"0000"))</x:f>
      </x:c>
      <x:c r="F266" s="36" t="str">
        <x:v>R0</x:v>
      </x:c>
      <x:c r="G266" s="40"/>
      <x:c r="H266" s="40"/>
      <x:c r="I266" s="36"/>
      <x:c r="J266" s="36"/>
      <x:c r="K266" s="36"/>
      <x:c r="L266" s="44"/>
      <x:c r="M266" s="36" t="str">
        <x:v>MYR</x:v>
      </x:c>
      <x:c r="N266" s="36"/>
      <x:c r="O266" s="36"/>
      <x:c r="P266" s="40"/>
      <x:c r="Q266" s="36" t="str">
        <x:f>IF(P266="","",P266-TODAY())</x:f>
      </x:c>
      <x:c r="R266" s="36" t="str">
        <x:f>IF(E266="","",IF(X266="DUPLICATE","STOP — DUPLICATE",IF(OR(N266="Completed",N266="Cancelled",N266="Rejected",N266="Superseded"),"Closed",IF(P266="","No due date",IF(Q266&lt;0,"OVERDUE",IF(Q266&lt;=7,"DUE SOON","Open"))))))</x:f>
      </x:c>
      <x:c r="S266" s="36"/>
      <x:c r="T266" s="36"/>
      <x:c r="U266" s="36"/>
      <x:c r="V266" s="42"/>
      <x:c r="W266" s="36"/>
      <x:c r="X266" s="36" t="str">
        <x:f>IF(E266="","",IF(COUNTIF($E$7:$E$506,E266)&gt;1,"DUPLICATE","OK"))</x:f>
      </x:c>
    </x:row>
    <x:row r="267">
      <x:c r="A267" s="36" t="str">
        <x:v>NEX</x:v>
      </x:c>
      <x:c r="B267" s="36"/>
      <x:c r="C267" s="38"/>
      <x:c r="D267" s="38"/>
      <x:c r="E267" s="36" t="str">
        <x:f>IF(OR(A267="",B267="",C267="",D267=""),"",A267&amp;"-"&amp;B267&amp;"-"&amp;TEXT(C267,"0000")&amp;"-"&amp;TEXT(D267,"0000"))</x:f>
      </x:c>
      <x:c r="F267" s="36" t="str">
        <x:v>R0</x:v>
      </x:c>
      <x:c r="G267" s="40"/>
      <x:c r="H267" s="40"/>
      <x:c r="I267" s="36"/>
      <x:c r="J267" s="36"/>
      <x:c r="K267" s="36"/>
      <x:c r="L267" s="44"/>
      <x:c r="M267" s="36" t="str">
        <x:v>MYR</x:v>
      </x:c>
      <x:c r="N267" s="36"/>
      <x:c r="O267" s="36"/>
      <x:c r="P267" s="40"/>
      <x:c r="Q267" s="36" t="str">
        <x:f>IF(P267="","",P267-TODAY())</x:f>
      </x:c>
      <x:c r="R267" s="36" t="str">
        <x:f>IF(E267="","",IF(X267="DUPLICATE","STOP — DUPLICATE",IF(OR(N267="Completed",N267="Cancelled",N267="Rejected",N267="Superseded"),"Closed",IF(P267="","No due date",IF(Q267&lt;0,"OVERDUE",IF(Q267&lt;=7,"DUE SOON","Open"))))))</x:f>
      </x:c>
      <x:c r="S267" s="36"/>
      <x:c r="T267" s="36"/>
      <x:c r="U267" s="36"/>
      <x:c r="V267" s="42"/>
      <x:c r="W267" s="36"/>
      <x:c r="X267" s="36" t="str">
        <x:f>IF(E267="","",IF(COUNTIF($E$7:$E$506,E267)&gt;1,"DUPLICATE","OK"))</x:f>
      </x:c>
    </x:row>
    <x:row r="268">
      <x:c r="A268" s="36" t="str">
        <x:v>NEX</x:v>
      </x:c>
      <x:c r="B268" s="36"/>
      <x:c r="C268" s="38"/>
      <x:c r="D268" s="38"/>
      <x:c r="E268" s="36" t="str">
        <x:f>IF(OR(A268="",B268="",C268="",D268=""),"",A268&amp;"-"&amp;B268&amp;"-"&amp;TEXT(C268,"0000")&amp;"-"&amp;TEXT(D268,"0000"))</x:f>
      </x:c>
      <x:c r="F268" s="36" t="str">
        <x:v>R0</x:v>
      </x:c>
      <x:c r="G268" s="40"/>
      <x:c r="H268" s="40"/>
      <x:c r="I268" s="36"/>
      <x:c r="J268" s="36"/>
      <x:c r="K268" s="36"/>
      <x:c r="L268" s="44"/>
      <x:c r="M268" s="36" t="str">
        <x:v>MYR</x:v>
      </x:c>
      <x:c r="N268" s="36"/>
      <x:c r="O268" s="36"/>
      <x:c r="P268" s="40"/>
      <x:c r="Q268" s="36" t="str">
        <x:f>IF(P268="","",P268-TODAY())</x:f>
      </x:c>
      <x:c r="R268" s="36" t="str">
        <x:f>IF(E268="","",IF(X268="DUPLICATE","STOP — DUPLICATE",IF(OR(N268="Completed",N268="Cancelled",N268="Rejected",N268="Superseded"),"Closed",IF(P268="","No due date",IF(Q268&lt;0,"OVERDUE",IF(Q268&lt;=7,"DUE SOON","Open"))))))</x:f>
      </x:c>
      <x:c r="S268" s="36"/>
      <x:c r="T268" s="36"/>
      <x:c r="U268" s="36"/>
      <x:c r="V268" s="42"/>
      <x:c r="W268" s="36"/>
      <x:c r="X268" s="36" t="str">
        <x:f>IF(E268="","",IF(COUNTIF($E$7:$E$506,E268)&gt;1,"DUPLICATE","OK"))</x:f>
      </x:c>
    </x:row>
    <x:row r="269">
      <x:c r="A269" s="36" t="str">
        <x:v>NEX</x:v>
      </x:c>
      <x:c r="B269" s="36"/>
      <x:c r="C269" s="38"/>
      <x:c r="D269" s="38"/>
      <x:c r="E269" s="36" t="str">
        <x:f>IF(OR(A269="",B269="",C269="",D269=""),"",A269&amp;"-"&amp;B269&amp;"-"&amp;TEXT(C269,"0000")&amp;"-"&amp;TEXT(D269,"0000"))</x:f>
      </x:c>
      <x:c r="F269" s="36" t="str">
        <x:v>R0</x:v>
      </x:c>
      <x:c r="G269" s="40"/>
      <x:c r="H269" s="40"/>
      <x:c r="I269" s="36"/>
      <x:c r="J269" s="36"/>
      <x:c r="K269" s="36"/>
      <x:c r="L269" s="44"/>
      <x:c r="M269" s="36" t="str">
        <x:v>MYR</x:v>
      </x:c>
      <x:c r="N269" s="36"/>
      <x:c r="O269" s="36"/>
      <x:c r="P269" s="40"/>
      <x:c r="Q269" s="36" t="str">
        <x:f>IF(P269="","",P269-TODAY())</x:f>
      </x:c>
      <x:c r="R269" s="36" t="str">
        <x:f>IF(E269="","",IF(X269="DUPLICATE","STOP — DUPLICATE",IF(OR(N269="Completed",N269="Cancelled",N269="Rejected",N269="Superseded"),"Closed",IF(P269="","No due date",IF(Q269&lt;0,"OVERDUE",IF(Q269&lt;=7,"DUE SOON","Open"))))))</x:f>
      </x:c>
      <x:c r="S269" s="36"/>
      <x:c r="T269" s="36"/>
      <x:c r="U269" s="36"/>
      <x:c r="V269" s="42"/>
      <x:c r="W269" s="36"/>
      <x:c r="X269" s="36" t="str">
        <x:f>IF(E269="","",IF(COUNTIF($E$7:$E$506,E269)&gt;1,"DUPLICATE","OK"))</x:f>
      </x:c>
    </x:row>
    <x:row r="270">
      <x:c r="A270" s="36" t="str">
        <x:v>NEX</x:v>
      </x:c>
      <x:c r="B270" s="36"/>
      <x:c r="C270" s="38"/>
      <x:c r="D270" s="38"/>
      <x:c r="E270" s="36" t="str">
        <x:f>IF(OR(A270="",B270="",C270="",D270=""),"",A270&amp;"-"&amp;B270&amp;"-"&amp;TEXT(C270,"0000")&amp;"-"&amp;TEXT(D270,"0000"))</x:f>
      </x:c>
      <x:c r="F270" s="36" t="str">
        <x:v>R0</x:v>
      </x:c>
      <x:c r="G270" s="40"/>
      <x:c r="H270" s="40"/>
      <x:c r="I270" s="36"/>
      <x:c r="J270" s="36"/>
      <x:c r="K270" s="36"/>
      <x:c r="L270" s="44"/>
      <x:c r="M270" s="36" t="str">
        <x:v>MYR</x:v>
      </x:c>
      <x:c r="N270" s="36"/>
      <x:c r="O270" s="36"/>
      <x:c r="P270" s="40"/>
      <x:c r="Q270" s="36" t="str">
        <x:f>IF(P270="","",P270-TODAY())</x:f>
      </x:c>
      <x:c r="R270" s="36" t="str">
        <x:f>IF(E270="","",IF(X270="DUPLICATE","STOP — DUPLICATE",IF(OR(N270="Completed",N270="Cancelled",N270="Rejected",N270="Superseded"),"Closed",IF(P270="","No due date",IF(Q270&lt;0,"OVERDUE",IF(Q270&lt;=7,"DUE SOON","Open"))))))</x:f>
      </x:c>
      <x:c r="S270" s="36"/>
      <x:c r="T270" s="36"/>
      <x:c r="U270" s="36"/>
      <x:c r="V270" s="42"/>
      <x:c r="W270" s="36"/>
      <x:c r="X270" s="36" t="str">
        <x:f>IF(E270="","",IF(COUNTIF($E$7:$E$506,E270)&gt;1,"DUPLICATE","OK"))</x:f>
      </x:c>
    </x:row>
    <x:row r="271">
      <x:c r="A271" s="36" t="str">
        <x:v>NEX</x:v>
      </x:c>
      <x:c r="B271" s="36"/>
      <x:c r="C271" s="38"/>
      <x:c r="D271" s="38"/>
      <x:c r="E271" s="36" t="str">
        <x:f>IF(OR(A271="",B271="",C271="",D271=""),"",A271&amp;"-"&amp;B271&amp;"-"&amp;TEXT(C271,"0000")&amp;"-"&amp;TEXT(D271,"0000"))</x:f>
      </x:c>
      <x:c r="F271" s="36" t="str">
        <x:v>R0</x:v>
      </x:c>
      <x:c r="G271" s="40"/>
      <x:c r="H271" s="40"/>
      <x:c r="I271" s="36"/>
      <x:c r="J271" s="36"/>
      <x:c r="K271" s="36"/>
      <x:c r="L271" s="44"/>
      <x:c r="M271" s="36" t="str">
        <x:v>MYR</x:v>
      </x:c>
      <x:c r="N271" s="36"/>
      <x:c r="O271" s="36"/>
      <x:c r="P271" s="40"/>
      <x:c r="Q271" s="36" t="str">
        <x:f>IF(P271="","",P271-TODAY())</x:f>
      </x:c>
      <x:c r="R271" s="36" t="str">
        <x:f>IF(E271="","",IF(X271="DUPLICATE","STOP — DUPLICATE",IF(OR(N271="Completed",N271="Cancelled",N271="Rejected",N271="Superseded"),"Closed",IF(P271="","No due date",IF(Q271&lt;0,"OVERDUE",IF(Q271&lt;=7,"DUE SOON","Open"))))))</x:f>
      </x:c>
      <x:c r="S271" s="36"/>
      <x:c r="T271" s="36"/>
      <x:c r="U271" s="36"/>
      <x:c r="V271" s="42"/>
      <x:c r="W271" s="36"/>
      <x:c r="X271" s="36" t="str">
        <x:f>IF(E271="","",IF(COUNTIF($E$7:$E$506,E271)&gt;1,"DUPLICATE","OK"))</x:f>
      </x:c>
    </x:row>
    <x:row r="272">
      <x:c r="A272" s="36" t="str">
        <x:v>NEX</x:v>
      </x:c>
      <x:c r="B272" s="36"/>
      <x:c r="C272" s="38"/>
      <x:c r="D272" s="38"/>
      <x:c r="E272" s="36" t="str">
        <x:f>IF(OR(A272="",B272="",C272="",D272=""),"",A272&amp;"-"&amp;B272&amp;"-"&amp;TEXT(C272,"0000")&amp;"-"&amp;TEXT(D272,"0000"))</x:f>
      </x:c>
      <x:c r="F272" s="36" t="str">
        <x:v>R0</x:v>
      </x:c>
      <x:c r="G272" s="40"/>
      <x:c r="H272" s="40"/>
      <x:c r="I272" s="36"/>
      <x:c r="J272" s="36"/>
      <x:c r="K272" s="36"/>
      <x:c r="L272" s="44"/>
      <x:c r="M272" s="36" t="str">
        <x:v>MYR</x:v>
      </x:c>
      <x:c r="N272" s="36"/>
      <x:c r="O272" s="36"/>
      <x:c r="P272" s="40"/>
      <x:c r="Q272" s="36" t="str">
        <x:f>IF(P272="","",P272-TODAY())</x:f>
      </x:c>
      <x:c r="R272" s="36" t="str">
        <x:f>IF(E272="","",IF(X272="DUPLICATE","STOP — DUPLICATE",IF(OR(N272="Completed",N272="Cancelled",N272="Rejected",N272="Superseded"),"Closed",IF(P272="","No due date",IF(Q272&lt;0,"OVERDUE",IF(Q272&lt;=7,"DUE SOON","Open"))))))</x:f>
      </x:c>
      <x:c r="S272" s="36"/>
      <x:c r="T272" s="36"/>
      <x:c r="U272" s="36"/>
      <x:c r="V272" s="42"/>
      <x:c r="W272" s="36"/>
      <x:c r="X272" s="36" t="str">
        <x:f>IF(E272="","",IF(COUNTIF($E$7:$E$506,E272)&gt;1,"DUPLICATE","OK"))</x:f>
      </x:c>
    </x:row>
    <x:row r="273">
      <x:c r="A273" s="36" t="str">
        <x:v>NEX</x:v>
      </x:c>
      <x:c r="B273" s="36"/>
      <x:c r="C273" s="38"/>
      <x:c r="D273" s="38"/>
      <x:c r="E273" s="36" t="str">
        <x:f>IF(OR(A273="",B273="",C273="",D273=""),"",A273&amp;"-"&amp;B273&amp;"-"&amp;TEXT(C273,"0000")&amp;"-"&amp;TEXT(D273,"0000"))</x:f>
      </x:c>
      <x:c r="F273" s="36" t="str">
        <x:v>R0</x:v>
      </x:c>
      <x:c r="G273" s="40"/>
      <x:c r="H273" s="40"/>
      <x:c r="I273" s="36"/>
      <x:c r="J273" s="36"/>
      <x:c r="K273" s="36"/>
      <x:c r="L273" s="44"/>
      <x:c r="M273" s="36" t="str">
        <x:v>MYR</x:v>
      </x:c>
      <x:c r="N273" s="36"/>
      <x:c r="O273" s="36"/>
      <x:c r="P273" s="40"/>
      <x:c r="Q273" s="36" t="str">
        <x:f>IF(P273="","",P273-TODAY())</x:f>
      </x:c>
      <x:c r="R273" s="36" t="str">
        <x:f>IF(E273="","",IF(X273="DUPLICATE","STOP — DUPLICATE",IF(OR(N273="Completed",N273="Cancelled",N273="Rejected",N273="Superseded"),"Closed",IF(P273="","No due date",IF(Q273&lt;0,"OVERDUE",IF(Q273&lt;=7,"DUE SOON","Open"))))))</x:f>
      </x:c>
      <x:c r="S273" s="36"/>
      <x:c r="T273" s="36"/>
      <x:c r="U273" s="36"/>
      <x:c r="V273" s="42"/>
      <x:c r="W273" s="36"/>
      <x:c r="X273" s="36" t="str">
        <x:f>IF(E273="","",IF(COUNTIF($E$7:$E$506,E273)&gt;1,"DUPLICATE","OK"))</x:f>
      </x:c>
    </x:row>
    <x:row r="274">
      <x:c r="A274" s="36" t="str">
        <x:v>NEX</x:v>
      </x:c>
      <x:c r="B274" s="36"/>
      <x:c r="C274" s="38"/>
      <x:c r="D274" s="38"/>
      <x:c r="E274" s="36" t="str">
        <x:f>IF(OR(A274="",B274="",C274="",D274=""),"",A274&amp;"-"&amp;B274&amp;"-"&amp;TEXT(C274,"0000")&amp;"-"&amp;TEXT(D274,"0000"))</x:f>
      </x:c>
      <x:c r="F274" s="36" t="str">
        <x:v>R0</x:v>
      </x:c>
      <x:c r="G274" s="40"/>
      <x:c r="H274" s="40"/>
      <x:c r="I274" s="36"/>
      <x:c r="J274" s="36"/>
      <x:c r="K274" s="36"/>
      <x:c r="L274" s="44"/>
      <x:c r="M274" s="36" t="str">
        <x:v>MYR</x:v>
      </x:c>
      <x:c r="N274" s="36"/>
      <x:c r="O274" s="36"/>
      <x:c r="P274" s="40"/>
      <x:c r="Q274" s="36" t="str">
        <x:f>IF(P274="","",P274-TODAY())</x:f>
      </x:c>
      <x:c r="R274" s="36" t="str">
        <x:f>IF(E274="","",IF(X274="DUPLICATE","STOP — DUPLICATE",IF(OR(N274="Completed",N274="Cancelled",N274="Rejected",N274="Superseded"),"Closed",IF(P274="","No due date",IF(Q274&lt;0,"OVERDUE",IF(Q274&lt;=7,"DUE SOON","Open"))))))</x:f>
      </x:c>
      <x:c r="S274" s="36"/>
      <x:c r="T274" s="36"/>
      <x:c r="U274" s="36"/>
      <x:c r="V274" s="42"/>
      <x:c r="W274" s="36"/>
      <x:c r="X274" s="36" t="str">
        <x:f>IF(E274="","",IF(COUNTIF($E$7:$E$506,E274)&gt;1,"DUPLICATE","OK"))</x:f>
      </x:c>
    </x:row>
    <x:row r="275">
      <x:c r="A275" s="36" t="str">
        <x:v>NEX</x:v>
      </x:c>
      <x:c r="B275" s="36"/>
      <x:c r="C275" s="38"/>
      <x:c r="D275" s="38"/>
      <x:c r="E275" s="36" t="str">
        <x:f>IF(OR(A275="",B275="",C275="",D275=""),"",A275&amp;"-"&amp;B275&amp;"-"&amp;TEXT(C275,"0000")&amp;"-"&amp;TEXT(D275,"0000"))</x:f>
      </x:c>
      <x:c r="F275" s="36" t="str">
        <x:v>R0</x:v>
      </x:c>
      <x:c r="G275" s="40"/>
      <x:c r="H275" s="40"/>
      <x:c r="I275" s="36"/>
      <x:c r="J275" s="36"/>
      <x:c r="K275" s="36"/>
      <x:c r="L275" s="44"/>
      <x:c r="M275" s="36" t="str">
        <x:v>MYR</x:v>
      </x:c>
      <x:c r="N275" s="36"/>
      <x:c r="O275" s="36"/>
      <x:c r="P275" s="40"/>
      <x:c r="Q275" s="36" t="str">
        <x:f>IF(P275="","",P275-TODAY())</x:f>
      </x:c>
      <x:c r="R275" s="36" t="str">
        <x:f>IF(E275="","",IF(X275="DUPLICATE","STOP — DUPLICATE",IF(OR(N275="Completed",N275="Cancelled",N275="Rejected",N275="Superseded"),"Closed",IF(P275="","No due date",IF(Q275&lt;0,"OVERDUE",IF(Q275&lt;=7,"DUE SOON","Open"))))))</x:f>
      </x:c>
      <x:c r="S275" s="36"/>
      <x:c r="T275" s="36"/>
      <x:c r="U275" s="36"/>
      <x:c r="V275" s="42"/>
      <x:c r="W275" s="36"/>
      <x:c r="X275" s="36" t="str">
        <x:f>IF(E275="","",IF(COUNTIF($E$7:$E$506,E275)&gt;1,"DUPLICATE","OK"))</x:f>
      </x:c>
    </x:row>
    <x:row r="276">
      <x:c r="A276" s="36" t="str">
        <x:v>NEX</x:v>
      </x:c>
      <x:c r="B276" s="36"/>
      <x:c r="C276" s="38"/>
      <x:c r="D276" s="38"/>
      <x:c r="E276" s="36" t="str">
        <x:f>IF(OR(A276="",B276="",C276="",D276=""),"",A276&amp;"-"&amp;B276&amp;"-"&amp;TEXT(C276,"0000")&amp;"-"&amp;TEXT(D276,"0000"))</x:f>
      </x:c>
      <x:c r="F276" s="36" t="str">
        <x:v>R0</x:v>
      </x:c>
      <x:c r="G276" s="40"/>
      <x:c r="H276" s="40"/>
      <x:c r="I276" s="36"/>
      <x:c r="J276" s="36"/>
      <x:c r="K276" s="36"/>
      <x:c r="L276" s="44"/>
      <x:c r="M276" s="36" t="str">
        <x:v>MYR</x:v>
      </x:c>
      <x:c r="N276" s="36"/>
      <x:c r="O276" s="36"/>
      <x:c r="P276" s="40"/>
      <x:c r="Q276" s="36" t="str">
        <x:f>IF(P276="","",P276-TODAY())</x:f>
      </x:c>
      <x:c r="R276" s="36" t="str">
        <x:f>IF(E276="","",IF(X276="DUPLICATE","STOP — DUPLICATE",IF(OR(N276="Completed",N276="Cancelled",N276="Rejected",N276="Superseded"),"Closed",IF(P276="","No due date",IF(Q276&lt;0,"OVERDUE",IF(Q276&lt;=7,"DUE SOON","Open"))))))</x:f>
      </x:c>
      <x:c r="S276" s="36"/>
      <x:c r="T276" s="36"/>
      <x:c r="U276" s="36"/>
      <x:c r="V276" s="42"/>
      <x:c r="W276" s="36"/>
      <x:c r="X276" s="36" t="str">
        <x:f>IF(E276="","",IF(COUNTIF($E$7:$E$506,E276)&gt;1,"DUPLICATE","OK"))</x:f>
      </x:c>
    </x:row>
    <x:row r="277">
      <x:c r="A277" s="36" t="str">
        <x:v>NEX</x:v>
      </x:c>
      <x:c r="B277" s="36"/>
      <x:c r="C277" s="38"/>
      <x:c r="D277" s="38"/>
      <x:c r="E277" s="36" t="str">
        <x:f>IF(OR(A277="",B277="",C277="",D277=""),"",A277&amp;"-"&amp;B277&amp;"-"&amp;TEXT(C277,"0000")&amp;"-"&amp;TEXT(D277,"0000"))</x:f>
      </x:c>
      <x:c r="F277" s="36" t="str">
        <x:v>R0</x:v>
      </x:c>
      <x:c r="G277" s="40"/>
      <x:c r="H277" s="40"/>
      <x:c r="I277" s="36"/>
      <x:c r="J277" s="36"/>
      <x:c r="K277" s="36"/>
      <x:c r="L277" s="44"/>
      <x:c r="M277" s="36" t="str">
        <x:v>MYR</x:v>
      </x:c>
      <x:c r="N277" s="36"/>
      <x:c r="O277" s="36"/>
      <x:c r="P277" s="40"/>
      <x:c r="Q277" s="36" t="str">
        <x:f>IF(P277="","",P277-TODAY())</x:f>
      </x:c>
      <x:c r="R277" s="36" t="str">
        <x:f>IF(E277="","",IF(X277="DUPLICATE","STOP — DUPLICATE",IF(OR(N277="Completed",N277="Cancelled",N277="Rejected",N277="Superseded"),"Closed",IF(P277="","No due date",IF(Q277&lt;0,"OVERDUE",IF(Q277&lt;=7,"DUE SOON","Open"))))))</x:f>
      </x:c>
      <x:c r="S277" s="36"/>
      <x:c r="T277" s="36"/>
      <x:c r="U277" s="36"/>
      <x:c r="V277" s="42"/>
      <x:c r="W277" s="36"/>
      <x:c r="X277" s="36" t="str">
        <x:f>IF(E277="","",IF(COUNTIF($E$7:$E$506,E277)&gt;1,"DUPLICATE","OK"))</x:f>
      </x:c>
    </x:row>
    <x:row r="278">
      <x:c r="A278" s="36" t="str">
        <x:v>NEX</x:v>
      </x:c>
      <x:c r="B278" s="36"/>
      <x:c r="C278" s="38"/>
      <x:c r="D278" s="38"/>
      <x:c r="E278" s="36" t="str">
        <x:f>IF(OR(A278="",B278="",C278="",D278=""),"",A278&amp;"-"&amp;B278&amp;"-"&amp;TEXT(C278,"0000")&amp;"-"&amp;TEXT(D278,"0000"))</x:f>
      </x:c>
      <x:c r="F278" s="36" t="str">
        <x:v>R0</x:v>
      </x:c>
      <x:c r="G278" s="40"/>
      <x:c r="H278" s="40"/>
      <x:c r="I278" s="36"/>
      <x:c r="J278" s="36"/>
      <x:c r="K278" s="36"/>
      <x:c r="L278" s="44"/>
      <x:c r="M278" s="36" t="str">
        <x:v>MYR</x:v>
      </x:c>
      <x:c r="N278" s="36"/>
      <x:c r="O278" s="36"/>
      <x:c r="P278" s="40"/>
      <x:c r="Q278" s="36" t="str">
        <x:f>IF(P278="","",P278-TODAY())</x:f>
      </x:c>
      <x:c r="R278" s="36" t="str">
        <x:f>IF(E278="","",IF(X278="DUPLICATE","STOP — DUPLICATE",IF(OR(N278="Completed",N278="Cancelled",N278="Rejected",N278="Superseded"),"Closed",IF(P278="","No due date",IF(Q278&lt;0,"OVERDUE",IF(Q278&lt;=7,"DUE SOON","Open"))))))</x:f>
      </x:c>
      <x:c r="S278" s="36"/>
      <x:c r="T278" s="36"/>
      <x:c r="U278" s="36"/>
      <x:c r="V278" s="42"/>
      <x:c r="W278" s="36"/>
      <x:c r="X278" s="36" t="str">
        <x:f>IF(E278="","",IF(COUNTIF($E$7:$E$506,E278)&gt;1,"DUPLICATE","OK"))</x:f>
      </x:c>
    </x:row>
    <x:row r="279">
      <x:c r="A279" s="36" t="str">
        <x:v>NEX</x:v>
      </x:c>
      <x:c r="B279" s="36"/>
      <x:c r="C279" s="38"/>
      <x:c r="D279" s="38"/>
      <x:c r="E279" s="36" t="str">
        <x:f>IF(OR(A279="",B279="",C279="",D279=""),"",A279&amp;"-"&amp;B279&amp;"-"&amp;TEXT(C279,"0000")&amp;"-"&amp;TEXT(D279,"0000"))</x:f>
      </x:c>
      <x:c r="F279" s="36" t="str">
        <x:v>R0</x:v>
      </x:c>
      <x:c r="G279" s="40"/>
      <x:c r="H279" s="40"/>
      <x:c r="I279" s="36"/>
      <x:c r="J279" s="36"/>
      <x:c r="K279" s="36"/>
      <x:c r="L279" s="44"/>
      <x:c r="M279" s="36" t="str">
        <x:v>MYR</x:v>
      </x:c>
      <x:c r="N279" s="36"/>
      <x:c r="O279" s="36"/>
      <x:c r="P279" s="40"/>
      <x:c r="Q279" s="36" t="str">
        <x:f>IF(P279="","",P279-TODAY())</x:f>
      </x:c>
      <x:c r="R279" s="36" t="str">
        <x:f>IF(E279="","",IF(X279="DUPLICATE","STOP — DUPLICATE",IF(OR(N279="Completed",N279="Cancelled",N279="Rejected",N279="Superseded"),"Closed",IF(P279="","No due date",IF(Q279&lt;0,"OVERDUE",IF(Q279&lt;=7,"DUE SOON","Open"))))))</x:f>
      </x:c>
      <x:c r="S279" s="36"/>
      <x:c r="T279" s="36"/>
      <x:c r="U279" s="36"/>
      <x:c r="V279" s="42"/>
      <x:c r="W279" s="36"/>
      <x:c r="X279" s="36" t="str">
        <x:f>IF(E279="","",IF(COUNTIF($E$7:$E$506,E279)&gt;1,"DUPLICATE","OK"))</x:f>
      </x:c>
    </x:row>
    <x:row r="280">
      <x:c r="A280" s="36" t="str">
        <x:v>NEX</x:v>
      </x:c>
      <x:c r="B280" s="36"/>
      <x:c r="C280" s="38"/>
      <x:c r="D280" s="38"/>
      <x:c r="E280" s="36" t="str">
        <x:f>IF(OR(A280="",B280="",C280="",D280=""),"",A280&amp;"-"&amp;B280&amp;"-"&amp;TEXT(C280,"0000")&amp;"-"&amp;TEXT(D280,"0000"))</x:f>
      </x:c>
      <x:c r="F280" s="36" t="str">
        <x:v>R0</x:v>
      </x:c>
      <x:c r="G280" s="40"/>
      <x:c r="H280" s="40"/>
      <x:c r="I280" s="36"/>
      <x:c r="J280" s="36"/>
      <x:c r="K280" s="36"/>
      <x:c r="L280" s="44"/>
      <x:c r="M280" s="36" t="str">
        <x:v>MYR</x:v>
      </x:c>
      <x:c r="N280" s="36"/>
      <x:c r="O280" s="36"/>
      <x:c r="P280" s="40"/>
      <x:c r="Q280" s="36" t="str">
        <x:f>IF(P280="","",P280-TODAY())</x:f>
      </x:c>
      <x:c r="R280" s="36" t="str">
        <x:f>IF(E280="","",IF(X280="DUPLICATE","STOP — DUPLICATE",IF(OR(N280="Completed",N280="Cancelled",N280="Rejected",N280="Superseded"),"Closed",IF(P280="","No due date",IF(Q280&lt;0,"OVERDUE",IF(Q280&lt;=7,"DUE SOON","Open"))))))</x:f>
      </x:c>
      <x:c r="S280" s="36"/>
      <x:c r="T280" s="36"/>
      <x:c r="U280" s="36"/>
      <x:c r="V280" s="42"/>
      <x:c r="W280" s="36"/>
      <x:c r="X280" s="36" t="str">
        <x:f>IF(E280="","",IF(COUNTIF($E$7:$E$506,E280)&gt;1,"DUPLICATE","OK"))</x:f>
      </x:c>
    </x:row>
    <x:row r="281">
      <x:c r="A281" s="36" t="str">
        <x:v>NEX</x:v>
      </x:c>
      <x:c r="B281" s="36"/>
      <x:c r="C281" s="38"/>
      <x:c r="D281" s="38"/>
      <x:c r="E281" s="36" t="str">
        <x:f>IF(OR(A281="",B281="",C281="",D281=""),"",A281&amp;"-"&amp;B281&amp;"-"&amp;TEXT(C281,"0000")&amp;"-"&amp;TEXT(D281,"0000"))</x:f>
      </x:c>
      <x:c r="F281" s="36" t="str">
        <x:v>R0</x:v>
      </x:c>
      <x:c r="G281" s="40"/>
      <x:c r="H281" s="40"/>
      <x:c r="I281" s="36"/>
      <x:c r="J281" s="36"/>
      <x:c r="K281" s="36"/>
      <x:c r="L281" s="44"/>
      <x:c r="M281" s="36" t="str">
        <x:v>MYR</x:v>
      </x:c>
      <x:c r="N281" s="36"/>
      <x:c r="O281" s="36"/>
      <x:c r="P281" s="40"/>
      <x:c r="Q281" s="36" t="str">
        <x:f>IF(P281="","",P281-TODAY())</x:f>
      </x:c>
      <x:c r="R281" s="36" t="str">
        <x:f>IF(E281="","",IF(X281="DUPLICATE","STOP — DUPLICATE",IF(OR(N281="Completed",N281="Cancelled",N281="Rejected",N281="Superseded"),"Closed",IF(P281="","No due date",IF(Q281&lt;0,"OVERDUE",IF(Q281&lt;=7,"DUE SOON","Open"))))))</x:f>
      </x:c>
      <x:c r="S281" s="36"/>
      <x:c r="T281" s="36"/>
      <x:c r="U281" s="36"/>
      <x:c r="V281" s="42"/>
      <x:c r="W281" s="36"/>
      <x:c r="X281" s="36" t="str">
        <x:f>IF(E281="","",IF(COUNTIF($E$7:$E$506,E281)&gt;1,"DUPLICATE","OK"))</x:f>
      </x:c>
    </x:row>
    <x:row r="282">
      <x:c r="A282" s="36" t="str">
        <x:v>NEX</x:v>
      </x:c>
      <x:c r="B282" s="36"/>
      <x:c r="C282" s="38"/>
      <x:c r="D282" s="38"/>
      <x:c r="E282" s="36" t="str">
        <x:f>IF(OR(A282="",B282="",C282="",D282=""),"",A282&amp;"-"&amp;B282&amp;"-"&amp;TEXT(C282,"0000")&amp;"-"&amp;TEXT(D282,"0000"))</x:f>
      </x:c>
      <x:c r="F282" s="36" t="str">
        <x:v>R0</x:v>
      </x:c>
      <x:c r="G282" s="40"/>
      <x:c r="H282" s="40"/>
      <x:c r="I282" s="36"/>
      <x:c r="J282" s="36"/>
      <x:c r="K282" s="36"/>
      <x:c r="L282" s="44"/>
      <x:c r="M282" s="36" t="str">
        <x:v>MYR</x:v>
      </x:c>
      <x:c r="N282" s="36"/>
      <x:c r="O282" s="36"/>
      <x:c r="P282" s="40"/>
      <x:c r="Q282" s="36" t="str">
        <x:f>IF(P282="","",P282-TODAY())</x:f>
      </x:c>
      <x:c r="R282" s="36" t="str">
        <x:f>IF(E282="","",IF(X282="DUPLICATE","STOP — DUPLICATE",IF(OR(N282="Completed",N282="Cancelled",N282="Rejected",N282="Superseded"),"Closed",IF(P282="","No due date",IF(Q282&lt;0,"OVERDUE",IF(Q282&lt;=7,"DUE SOON","Open"))))))</x:f>
      </x:c>
      <x:c r="S282" s="36"/>
      <x:c r="T282" s="36"/>
      <x:c r="U282" s="36"/>
      <x:c r="V282" s="42"/>
      <x:c r="W282" s="36"/>
      <x:c r="X282" s="36" t="str">
        <x:f>IF(E282="","",IF(COUNTIF($E$7:$E$506,E282)&gt;1,"DUPLICATE","OK"))</x:f>
      </x:c>
    </x:row>
    <x:row r="283">
      <x:c r="A283" s="36" t="str">
        <x:v>NEX</x:v>
      </x:c>
      <x:c r="B283" s="36"/>
      <x:c r="C283" s="38"/>
      <x:c r="D283" s="38"/>
      <x:c r="E283" s="36" t="str">
        <x:f>IF(OR(A283="",B283="",C283="",D283=""),"",A283&amp;"-"&amp;B283&amp;"-"&amp;TEXT(C283,"0000")&amp;"-"&amp;TEXT(D283,"0000"))</x:f>
      </x:c>
      <x:c r="F283" s="36" t="str">
        <x:v>R0</x:v>
      </x:c>
      <x:c r="G283" s="40"/>
      <x:c r="H283" s="40"/>
      <x:c r="I283" s="36"/>
      <x:c r="J283" s="36"/>
      <x:c r="K283" s="36"/>
      <x:c r="L283" s="44"/>
      <x:c r="M283" s="36" t="str">
        <x:v>MYR</x:v>
      </x:c>
      <x:c r="N283" s="36"/>
      <x:c r="O283" s="36"/>
      <x:c r="P283" s="40"/>
      <x:c r="Q283" s="36" t="str">
        <x:f>IF(P283="","",P283-TODAY())</x:f>
      </x:c>
      <x:c r="R283" s="36" t="str">
        <x:f>IF(E283="","",IF(X283="DUPLICATE","STOP — DUPLICATE",IF(OR(N283="Completed",N283="Cancelled",N283="Rejected",N283="Superseded"),"Closed",IF(P283="","No due date",IF(Q283&lt;0,"OVERDUE",IF(Q283&lt;=7,"DUE SOON","Open"))))))</x:f>
      </x:c>
      <x:c r="S283" s="36"/>
      <x:c r="T283" s="36"/>
      <x:c r="U283" s="36"/>
      <x:c r="V283" s="42"/>
      <x:c r="W283" s="36"/>
      <x:c r="X283" s="36" t="str">
        <x:f>IF(E283="","",IF(COUNTIF($E$7:$E$506,E283)&gt;1,"DUPLICATE","OK"))</x:f>
      </x:c>
    </x:row>
    <x:row r="284">
      <x:c r="A284" s="36" t="str">
        <x:v>NEX</x:v>
      </x:c>
      <x:c r="B284" s="36"/>
      <x:c r="C284" s="38"/>
      <x:c r="D284" s="38"/>
      <x:c r="E284" s="36" t="str">
        <x:f>IF(OR(A284="",B284="",C284="",D284=""),"",A284&amp;"-"&amp;B284&amp;"-"&amp;TEXT(C284,"0000")&amp;"-"&amp;TEXT(D284,"0000"))</x:f>
      </x:c>
      <x:c r="F284" s="36" t="str">
        <x:v>R0</x:v>
      </x:c>
      <x:c r="G284" s="40"/>
      <x:c r="H284" s="40"/>
      <x:c r="I284" s="36"/>
      <x:c r="J284" s="36"/>
      <x:c r="K284" s="36"/>
      <x:c r="L284" s="44"/>
      <x:c r="M284" s="36" t="str">
        <x:v>MYR</x:v>
      </x:c>
      <x:c r="N284" s="36"/>
      <x:c r="O284" s="36"/>
      <x:c r="P284" s="40"/>
      <x:c r="Q284" s="36" t="str">
        <x:f>IF(P284="","",P284-TODAY())</x:f>
      </x:c>
      <x:c r="R284" s="36" t="str">
        <x:f>IF(E284="","",IF(X284="DUPLICATE","STOP — DUPLICATE",IF(OR(N284="Completed",N284="Cancelled",N284="Rejected",N284="Superseded"),"Closed",IF(P284="","No due date",IF(Q284&lt;0,"OVERDUE",IF(Q284&lt;=7,"DUE SOON","Open"))))))</x:f>
      </x:c>
      <x:c r="S284" s="36"/>
      <x:c r="T284" s="36"/>
      <x:c r="U284" s="36"/>
      <x:c r="V284" s="42"/>
      <x:c r="W284" s="36"/>
      <x:c r="X284" s="36" t="str">
        <x:f>IF(E284="","",IF(COUNTIF($E$7:$E$506,E284)&gt;1,"DUPLICATE","OK"))</x:f>
      </x:c>
    </x:row>
    <x:row r="285">
      <x:c r="A285" s="36" t="str">
        <x:v>NEX</x:v>
      </x:c>
      <x:c r="B285" s="36"/>
      <x:c r="C285" s="38"/>
      <x:c r="D285" s="38"/>
      <x:c r="E285" s="36" t="str">
        <x:f>IF(OR(A285="",B285="",C285="",D285=""),"",A285&amp;"-"&amp;B285&amp;"-"&amp;TEXT(C285,"0000")&amp;"-"&amp;TEXT(D285,"0000"))</x:f>
      </x:c>
      <x:c r="F285" s="36" t="str">
        <x:v>R0</x:v>
      </x:c>
      <x:c r="G285" s="40"/>
      <x:c r="H285" s="40"/>
      <x:c r="I285" s="36"/>
      <x:c r="J285" s="36"/>
      <x:c r="K285" s="36"/>
      <x:c r="L285" s="44"/>
      <x:c r="M285" s="36" t="str">
        <x:v>MYR</x:v>
      </x:c>
      <x:c r="N285" s="36"/>
      <x:c r="O285" s="36"/>
      <x:c r="P285" s="40"/>
      <x:c r="Q285" s="36" t="str">
        <x:f>IF(P285="","",P285-TODAY())</x:f>
      </x:c>
      <x:c r="R285" s="36" t="str">
        <x:f>IF(E285="","",IF(X285="DUPLICATE","STOP — DUPLICATE",IF(OR(N285="Completed",N285="Cancelled",N285="Rejected",N285="Superseded"),"Closed",IF(P285="","No due date",IF(Q285&lt;0,"OVERDUE",IF(Q285&lt;=7,"DUE SOON","Open"))))))</x:f>
      </x:c>
      <x:c r="S285" s="36"/>
      <x:c r="T285" s="36"/>
      <x:c r="U285" s="36"/>
      <x:c r="V285" s="42"/>
      <x:c r="W285" s="36"/>
      <x:c r="X285" s="36" t="str">
        <x:f>IF(E285="","",IF(COUNTIF($E$7:$E$506,E285)&gt;1,"DUPLICATE","OK"))</x:f>
      </x:c>
    </x:row>
    <x:row r="286">
      <x:c r="A286" s="36" t="str">
        <x:v>NEX</x:v>
      </x:c>
      <x:c r="B286" s="36"/>
      <x:c r="C286" s="38"/>
      <x:c r="D286" s="38"/>
      <x:c r="E286" s="36" t="str">
        <x:f>IF(OR(A286="",B286="",C286="",D286=""),"",A286&amp;"-"&amp;B286&amp;"-"&amp;TEXT(C286,"0000")&amp;"-"&amp;TEXT(D286,"0000"))</x:f>
      </x:c>
      <x:c r="F286" s="36" t="str">
        <x:v>R0</x:v>
      </x:c>
      <x:c r="G286" s="40"/>
      <x:c r="H286" s="40"/>
      <x:c r="I286" s="36"/>
      <x:c r="J286" s="36"/>
      <x:c r="K286" s="36"/>
      <x:c r="L286" s="44"/>
      <x:c r="M286" s="36" t="str">
        <x:v>MYR</x:v>
      </x:c>
      <x:c r="N286" s="36"/>
      <x:c r="O286" s="36"/>
      <x:c r="P286" s="40"/>
      <x:c r="Q286" s="36" t="str">
        <x:f>IF(P286="","",P286-TODAY())</x:f>
      </x:c>
      <x:c r="R286" s="36" t="str">
        <x:f>IF(E286="","",IF(X286="DUPLICATE","STOP — DUPLICATE",IF(OR(N286="Completed",N286="Cancelled",N286="Rejected",N286="Superseded"),"Closed",IF(P286="","No due date",IF(Q286&lt;0,"OVERDUE",IF(Q286&lt;=7,"DUE SOON","Open"))))))</x:f>
      </x:c>
      <x:c r="S286" s="36"/>
      <x:c r="T286" s="36"/>
      <x:c r="U286" s="36"/>
      <x:c r="V286" s="42"/>
      <x:c r="W286" s="36"/>
      <x:c r="X286" s="36" t="str">
        <x:f>IF(E286="","",IF(COUNTIF($E$7:$E$506,E286)&gt;1,"DUPLICATE","OK"))</x:f>
      </x:c>
    </x:row>
    <x:row r="287">
      <x:c r="A287" s="36" t="str">
        <x:v>NEX</x:v>
      </x:c>
      <x:c r="B287" s="36"/>
      <x:c r="C287" s="38"/>
      <x:c r="D287" s="38"/>
      <x:c r="E287" s="36" t="str">
        <x:f>IF(OR(A287="",B287="",C287="",D287=""),"",A287&amp;"-"&amp;B287&amp;"-"&amp;TEXT(C287,"0000")&amp;"-"&amp;TEXT(D287,"0000"))</x:f>
      </x:c>
      <x:c r="F287" s="36" t="str">
        <x:v>R0</x:v>
      </x:c>
      <x:c r="G287" s="40"/>
      <x:c r="H287" s="40"/>
      <x:c r="I287" s="36"/>
      <x:c r="J287" s="36"/>
      <x:c r="K287" s="36"/>
      <x:c r="L287" s="44"/>
      <x:c r="M287" s="36" t="str">
        <x:v>MYR</x:v>
      </x:c>
      <x:c r="N287" s="36"/>
      <x:c r="O287" s="36"/>
      <x:c r="P287" s="40"/>
      <x:c r="Q287" s="36" t="str">
        <x:f>IF(P287="","",P287-TODAY())</x:f>
      </x:c>
      <x:c r="R287" s="36" t="str">
        <x:f>IF(E287="","",IF(X287="DUPLICATE","STOP — DUPLICATE",IF(OR(N287="Completed",N287="Cancelled",N287="Rejected",N287="Superseded"),"Closed",IF(P287="","No due date",IF(Q287&lt;0,"OVERDUE",IF(Q287&lt;=7,"DUE SOON","Open"))))))</x:f>
      </x:c>
      <x:c r="S287" s="36"/>
      <x:c r="T287" s="36"/>
      <x:c r="U287" s="36"/>
      <x:c r="V287" s="42"/>
      <x:c r="W287" s="36"/>
      <x:c r="X287" s="36" t="str">
        <x:f>IF(E287="","",IF(COUNTIF($E$7:$E$506,E287)&gt;1,"DUPLICATE","OK"))</x:f>
      </x:c>
    </x:row>
    <x:row r="288">
      <x:c r="A288" s="36" t="str">
        <x:v>NEX</x:v>
      </x:c>
      <x:c r="B288" s="36"/>
      <x:c r="C288" s="38"/>
      <x:c r="D288" s="38"/>
      <x:c r="E288" s="36" t="str">
        <x:f>IF(OR(A288="",B288="",C288="",D288=""),"",A288&amp;"-"&amp;B288&amp;"-"&amp;TEXT(C288,"0000")&amp;"-"&amp;TEXT(D288,"0000"))</x:f>
      </x:c>
      <x:c r="F288" s="36" t="str">
        <x:v>R0</x:v>
      </x:c>
      <x:c r="G288" s="40"/>
      <x:c r="H288" s="40"/>
      <x:c r="I288" s="36"/>
      <x:c r="J288" s="36"/>
      <x:c r="K288" s="36"/>
      <x:c r="L288" s="44"/>
      <x:c r="M288" s="36" t="str">
        <x:v>MYR</x:v>
      </x:c>
      <x:c r="N288" s="36"/>
      <x:c r="O288" s="36"/>
      <x:c r="P288" s="40"/>
      <x:c r="Q288" s="36" t="str">
        <x:f>IF(P288="","",P288-TODAY())</x:f>
      </x:c>
      <x:c r="R288" s="36" t="str">
        <x:f>IF(E288="","",IF(X288="DUPLICATE","STOP — DUPLICATE",IF(OR(N288="Completed",N288="Cancelled",N288="Rejected",N288="Superseded"),"Closed",IF(P288="","No due date",IF(Q288&lt;0,"OVERDUE",IF(Q288&lt;=7,"DUE SOON","Open"))))))</x:f>
      </x:c>
      <x:c r="S288" s="36"/>
      <x:c r="T288" s="36"/>
      <x:c r="U288" s="36"/>
      <x:c r="V288" s="42"/>
      <x:c r="W288" s="36"/>
      <x:c r="X288" s="36" t="str">
        <x:f>IF(E288="","",IF(COUNTIF($E$7:$E$506,E288)&gt;1,"DUPLICATE","OK"))</x:f>
      </x:c>
    </x:row>
    <x:row r="289">
      <x:c r="A289" s="36" t="str">
        <x:v>NEX</x:v>
      </x:c>
      <x:c r="B289" s="36"/>
      <x:c r="C289" s="38"/>
      <x:c r="D289" s="38"/>
      <x:c r="E289" s="36" t="str">
        <x:f>IF(OR(A289="",B289="",C289="",D289=""),"",A289&amp;"-"&amp;B289&amp;"-"&amp;TEXT(C289,"0000")&amp;"-"&amp;TEXT(D289,"0000"))</x:f>
      </x:c>
      <x:c r="F289" s="36" t="str">
        <x:v>R0</x:v>
      </x:c>
      <x:c r="G289" s="40"/>
      <x:c r="H289" s="40"/>
      <x:c r="I289" s="36"/>
      <x:c r="J289" s="36"/>
      <x:c r="K289" s="36"/>
      <x:c r="L289" s="44"/>
      <x:c r="M289" s="36" t="str">
        <x:v>MYR</x:v>
      </x:c>
      <x:c r="N289" s="36"/>
      <x:c r="O289" s="36"/>
      <x:c r="P289" s="40"/>
      <x:c r="Q289" s="36" t="str">
        <x:f>IF(P289="","",P289-TODAY())</x:f>
      </x:c>
      <x:c r="R289" s="36" t="str">
        <x:f>IF(E289="","",IF(X289="DUPLICATE","STOP — DUPLICATE",IF(OR(N289="Completed",N289="Cancelled",N289="Rejected",N289="Superseded"),"Closed",IF(P289="","No due date",IF(Q289&lt;0,"OVERDUE",IF(Q289&lt;=7,"DUE SOON","Open"))))))</x:f>
      </x:c>
      <x:c r="S289" s="36"/>
      <x:c r="T289" s="36"/>
      <x:c r="U289" s="36"/>
      <x:c r="V289" s="42"/>
      <x:c r="W289" s="36"/>
      <x:c r="X289" s="36" t="str">
        <x:f>IF(E289="","",IF(COUNTIF($E$7:$E$506,E289)&gt;1,"DUPLICATE","OK"))</x:f>
      </x:c>
    </x:row>
    <x:row r="290">
      <x:c r="A290" s="36" t="str">
        <x:v>NEX</x:v>
      </x:c>
      <x:c r="B290" s="36"/>
      <x:c r="C290" s="38"/>
      <x:c r="D290" s="38"/>
      <x:c r="E290" s="36" t="str">
        <x:f>IF(OR(A290="",B290="",C290="",D290=""),"",A290&amp;"-"&amp;B290&amp;"-"&amp;TEXT(C290,"0000")&amp;"-"&amp;TEXT(D290,"0000"))</x:f>
      </x:c>
      <x:c r="F290" s="36" t="str">
        <x:v>R0</x:v>
      </x:c>
      <x:c r="G290" s="40"/>
      <x:c r="H290" s="40"/>
      <x:c r="I290" s="36"/>
      <x:c r="J290" s="36"/>
      <x:c r="K290" s="36"/>
      <x:c r="L290" s="44"/>
      <x:c r="M290" s="36" t="str">
        <x:v>MYR</x:v>
      </x:c>
      <x:c r="N290" s="36"/>
      <x:c r="O290" s="36"/>
      <x:c r="P290" s="40"/>
      <x:c r="Q290" s="36" t="str">
        <x:f>IF(P290="","",P290-TODAY())</x:f>
      </x:c>
      <x:c r="R290" s="36" t="str">
        <x:f>IF(E290="","",IF(X290="DUPLICATE","STOP — DUPLICATE",IF(OR(N290="Completed",N290="Cancelled",N290="Rejected",N290="Superseded"),"Closed",IF(P290="","No due date",IF(Q290&lt;0,"OVERDUE",IF(Q290&lt;=7,"DUE SOON","Open"))))))</x:f>
      </x:c>
      <x:c r="S290" s="36"/>
      <x:c r="T290" s="36"/>
      <x:c r="U290" s="36"/>
      <x:c r="V290" s="42"/>
      <x:c r="W290" s="36"/>
      <x:c r="X290" s="36" t="str">
        <x:f>IF(E290="","",IF(COUNTIF($E$7:$E$506,E290)&gt;1,"DUPLICATE","OK"))</x:f>
      </x:c>
    </x:row>
    <x:row r="291">
      <x:c r="A291" s="36" t="str">
        <x:v>NEX</x:v>
      </x:c>
      <x:c r="B291" s="36"/>
      <x:c r="C291" s="38"/>
      <x:c r="D291" s="38"/>
      <x:c r="E291" s="36" t="str">
        <x:f>IF(OR(A291="",B291="",C291="",D291=""),"",A291&amp;"-"&amp;B291&amp;"-"&amp;TEXT(C291,"0000")&amp;"-"&amp;TEXT(D291,"0000"))</x:f>
      </x:c>
      <x:c r="F291" s="36" t="str">
        <x:v>R0</x:v>
      </x:c>
      <x:c r="G291" s="40"/>
      <x:c r="H291" s="40"/>
      <x:c r="I291" s="36"/>
      <x:c r="J291" s="36"/>
      <x:c r="K291" s="36"/>
      <x:c r="L291" s="44"/>
      <x:c r="M291" s="36" t="str">
        <x:v>MYR</x:v>
      </x:c>
      <x:c r="N291" s="36"/>
      <x:c r="O291" s="36"/>
      <x:c r="P291" s="40"/>
      <x:c r="Q291" s="36" t="str">
        <x:f>IF(P291="","",P291-TODAY())</x:f>
      </x:c>
      <x:c r="R291" s="36" t="str">
        <x:f>IF(E291="","",IF(X291="DUPLICATE","STOP — DUPLICATE",IF(OR(N291="Completed",N291="Cancelled",N291="Rejected",N291="Superseded"),"Closed",IF(P291="","No due date",IF(Q291&lt;0,"OVERDUE",IF(Q291&lt;=7,"DUE SOON","Open"))))))</x:f>
      </x:c>
      <x:c r="S291" s="36"/>
      <x:c r="T291" s="36"/>
      <x:c r="U291" s="36"/>
      <x:c r="V291" s="42"/>
      <x:c r="W291" s="36"/>
      <x:c r="X291" s="36" t="str">
        <x:f>IF(E291="","",IF(COUNTIF($E$7:$E$506,E291)&gt;1,"DUPLICATE","OK"))</x:f>
      </x:c>
    </x:row>
    <x:row r="292">
      <x:c r="A292" s="36" t="str">
        <x:v>NEX</x:v>
      </x:c>
      <x:c r="B292" s="36"/>
      <x:c r="C292" s="38"/>
      <x:c r="D292" s="38"/>
      <x:c r="E292" s="36" t="str">
        <x:f>IF(OR(A292="",B292="",C292="",D292=""),"",A292&amp;"-"&amp;B292&amp;"-"&amp;TEXT(C292,"0000")&amp;"-"&amp;TEXT(D292,"0000"))</x:f>
      </x:c>
      <x:c r="F292" s="36" t="str">
        <x:v>R0</x:v>
      </x:c>
      <x:c r="G292" s="40"/>
      <x:c r="H292" s="40"/>
      <x:c r="I292" s="36"/>
      <x:c r="J292" s="36"/>
      <x:c r="K292" s="36"/>
      <x:c r="L292" s="44"/>
      <x:c r="M292" s="36" t="str">
        <x:v>MYR</x:v>
      </x:c>
      <x:c r="N292" s="36"/>
      <x:c r="O292" s="36"/>
      <x:c r="P292" s="40"/>
      <x:c r="Q292" s="36" t="str">
        <x:f>IF(P292="","",P292-TODAY())</x:f>
      </x:c>
      <x:c r="R292" s="36" t="str">
        <x:f>IF(E292="","",IF(X292="DUPLICATE","STOP — DUPLICATE",IF(OR(N292="Completed",N292="Cancelled",N292="Rejected",N292="Superseded"),"Closed",IF(P292="","No due date",IF(Q292&lt;0,"OVERDUE",IF(Q292&lt;=7,"DUE SOON","Open"))))))</x:f>
      </x:c>
      <x:c r="S292" s="36"/>
      <x:c r="T292" s="36"/>
      <x:c r="U292" s="36"/>
      <x:c r="V292" s="42"/>
      <x:c r="W292" s="36"/>
      <x:c r="X292" s="36" t="str">
        <x:f>IF(E292="","",IF(COUNTIF($E$7:$E$506,E292)&gt;1,"DUPLICATE","OK"))</x:f>
      </x:c>
    </x:row>
    <x:row r="293">
      <x:c r="A293" s="36" t="str">
        <x:v>NEX</x:v>
      </x:c>
      <x:c r="B293" s="36"/>
      <x:c r="C293" s="38"/>
      <x:c r="D293" s="38"/>
      <x:c r="E293" s="36" t="str">
        <x:f>IF(OR(A293="",B293="",C293="",D293=""),"",A293&amp;"-"&amp;B293&amp;"-"&amp;TEXT(C293,"0000")&amp;"-"&amp;TEXT(D293,"0000"))</x:f>
      </x:c>
      <x:c r="F293" s="36" t="str">
        <x:v>R0</x:v>
      </x:c>
      <x:c r="G293" s="40"/>
      <x:c r="H293" s="40"/>
      <x:c r="I293" s="36"/>
      <x:c r="J293" s="36"/>
      <x:c r="K293" s="36"/>
      <x:c r="L293" s="44"/>
      <x:c r="M293" s="36" t="str">
        <x:v>MYR</x:v>
      </x:c>
      <x:c r="N293" s="36"/>
      <x:c r="O293" s="36"/>
      <x:c r="P293" s="40"/>
      <x:c r="Q293" s="36" t="str">
        <x:f>IF(P293="","",P293-TODAY())</x:f>
      </x:c>
      <x:c r="R293" s="36" t="str">
        <x:f>IF(E293="","",IF(X293="DUPLICATE","STOP — DUPLICATE",IF(OR(N293="Completed",N293="Cancelled",N293="Rejected",N293="Superseded"),"Closed",IF(P293="","No due date",IF(Q293&lt;0,"OVERDUE",IF(Q293&lt;=7,"DUE SOON","Open"))))))</x:f>
      </x:c>
      <x:c r="S293" s="36"/>
      <x:c r="T293" s="36"/>
      <x:c r="U293" s="36"/>
      <x:c r="V293" s="42"/>
      <x:c r="W293" s="36"/>
      <x:c r="X293" s="36" t="str">
        <x:f>IF(E293="","",IF(COUNTIF($E$7:$E$506,E293)&gt;1,"DUPLICATE","OK"))</x:f>
      </x:c>
    </x:row>
    <x:row r="294">
      <x:c r="A294" s="36" t="str">
        <x:v>NEX</x:v>
      </x:c>
      <x:c r="B294" s="36"/>
      <x:c r="C294" s="38"/>
      <x:c r="D294" s="38"/>
      <x:c r="E294" s="36" t="str">
        <x:f>IF(OR(A294="",B294="",C294="",D294=""),"",A294&amp;"-"&amp;B294&amp;"-"&amp;TEXT(C294,"0000")&amp;"-"&amp;TEXT(D294,"0000"))</x:f>
      </x:c>
      <x:c r="F294" s="36" t="str">
        <x:v>R0</x:v>
      </x:c>
      <x:c r="G294" s="40"/>
      <x:c r="H294" s="40"/>
      <x:c r="I294" s="36"/>
      <x:c r="J294" s="36"/>
      <x:c r="K294" s="36"/>
      <x:c r="L294" s="44"/>
      <x:c r="M294" s="36" t="str">
        <x:v>MYR</x:v>
      </x:c>
      <x:c r="N294" s="36"/>
      <x:c r="O294" s="36"/>
      <x:c r="P294" s="40"/>
      <x:c r="Q294" s="36" t="str">
        <x:f>IF(P294="","",P294-TODAY())</x:f>
      </x:c>
      <x:c r="R294" s="36" t="str">
        <x:f>IF(E294="","",IF(X294="DUPLICATE","STOP — DUPLICATE",IF(OR(N294="Completed",N294="Cancelled",N294="Rejected",N294="Superseded"),"Closed",IF(P294="","No due date",IF(Q294&lt;0,"OVERDUE",IF(Q294&lt;=7,"DUE SOON","Open"))))))</x:f>
      </x:c>
      <x:c r="S294" s="36"/>
      <x:c r="T294" s="36"/>
      <x:c r="U294" s="36"/>
      <x:c r="V294" s="42"/>
      <x:c r="W294" s="36"/>
      <x:c r="X294" s="36" t="str">
        <x:f>IF(E294="","",IF(COUNTIF($E$7:$E$506,E294)&gt;1,"DUPLICATE","OK"))</x:f>
      </x:c>
    </x:row>
    <x:row r="295">
      <x:c r="A295" s="36" t="str">
        <x:v>NEX</x:v>
      </x:c>
      <x:c r="B295" s="36"/>
      <x:c r="C295" s="38"/>
      <x:c r="D295" s="38"/>
      <x:c r="E295" s="36" t="str">
        <x:f>IF(OR(A295="",B295="",C295="",D295=""),"",A295&amp;"-"&amp;B295&amp;"-"&amp;TEXT(C295,"0000")&amp;"-"&amp;TEXT(D295,"0000"))</x:f>
      </x:c>
      <x:c r="F295" s="36" t="str">
        <x:v>R0</x:v>
      </x:c>
      <x:c r="G295" s="40"/>
      <x:c r="H295" s="40"/>
      <x:c r="I295" s="36"/>
      <x:c r="J295" s="36"/>
      <x:c r="K295" s="36"/>
      <x:c r="L295" s="44"/>
      <x:c r="M295" s="36" t="str">
        <x:v>MYR</x:v>
      </x:c>
      <x:c r="N295" s="36"/>
      <x:c r="O295" s="36"/>
      <x:c r="P295" s="40"/>
      <x:c r="Q295" s="36" t="str">
        <x:f>IF(P295="","",P295-TODAY())</x:f>
      </x:c>
      <x:c r="R295" s="36" t="str">
        <x:f>IF(E295="","",IF(X295="DUPLICATE","STOP — DUPLICATE",IF(OR(N295="Completed",N295="Cancelled",N295="Rejected",N295="Superseded"),"Closed",IF(P295="","No due date",IF(Q295&lt;0,"OVERDUE",IF(Q295&lt;=7,"DUE SOON","Open"))))))</x:f>
      </x:c>
      <x:c r="S295" s="36"/>
      <x:c r="T295" s="36"/>
      <x:c r="U295" s="36"/>
      <x:c r="V295" s="42"/>
      <x:c r="W295" s="36"/>
      <x:c r="X295" s="36" t="str">
        <x:f>IF(E295="","",IF(COUNTIF($E$7:$E$506,E295)&gt;1,"DUPLICATE","OK"))</x:f>
      </x:c>
    </x:row>
    <x:row r="296">
      <x:c r="A296" s="36" t="str">
        <x:v>NEX</x:v>
      </x:c>
      <x:c r="B296" s="36"/>
      <x:c r="C296" s="38"/>
      <x:c r="D296" s="38"/>
      <x:c r="E296" s="36" t="str">
        <x:f>IF(OR(A296="",B296="",C296="",D296=""),"",A296&amp;"-"&amp;B296&amp;"-"&amp;TEXT(C296,"0000")&amp;"-"&amp;TEXT(D296,"0000"))</x:f>
      </x:c>
      <x:c r="F296" s="36" t="str">
        <x:v>R0</x:v>
      </x:c>
      <x:c r="G296" s="40"/>
      <x:c r="H296" s="40"/>
      <x:c r="I296" s="36"/>
      <x:c r="J296" s="36"/>
      <x:c r="K296" s="36"/>
      <x:c r="L296" s="44"/>
      <x:c r="M296" s="36" t="str">
        <x:v>MYR</x:v>
      </x:c>
      <x:c r="N296" s="36"/>
      <x:c r="O296" s="36"/>
      <x:c r="P296" s="40"/>
      <x:c r="Q296" s="36" t="str">
        <x:f>IF(P296="","",P296-TODAY())</x:f>
      </x:c>
      <x:c r="R296" s="36" t="str">
        <x:f>IF(E296="","",IF(X296="DUPLICATE","STOP — DUPLICATE",IF(OR(N296="Completed",N296="Cancelled",N296="Rejected",N296="Superseded"),"Closed",IF(P296="","No due date",IF(Q296&lt;0,"OVERDUE",IF(Q296&lt;=7,"DUE SOON","Open"))))))</x:f>
      </x:c>
      <x:c r="S296" s="36"/>
      <x:c r="T296" s="36"/>
      <x:c r="U296" s="36"/>
      <x:c r="V296" s="42"/>
      <x:c r="W296" s="36"/>
      <x:c r="X296" s="36" t="str">
        <x:f>IF(E296="","",IF(COUNTIF($E$7:$E$506,E296)&gt;1,"DUPLICATE","OK"))</x:f>
      </x:c>
    </x:row>
    <x:row r="297">
      <x:c r="A297" s="36" t="str">
        <x:v>NEX</x:v>
      </x:c>
      <x:c r="B297" s="36"/>
      <x:c r="C297" s="38"/>
      <x:c r="D297" s="38"/>
      <x:c r="E297" s="36" t="str">
        <x:f>IF(OR(A297="",B297="",C297="",D297=""),"",A297&amp;"-"&amp;B297&amp;"-"&amp;TEXT(C297,"0000")&amp;"-"&amp;TEXT(D297,"0000"))</x:f>
      </x:c>
      <x:c r="F297" s="36" t="str">
        <x:v>R0</x:v>
      </x:c>
      <x:c r="G297" s="40"/>
      <x:c r="H297" s="40"/>
      <x:c r="I297" s="36"/>
      <x:c r="J297" s="36"/>
      <x:c r="K297" s="36"/>
      <x:c r="L297" s="44"/>
      <x:c r="M297" s="36" t="str">
        <x:v>MYR</x:v>
      </x:c>
      <x:c r="N297" s="36"/>
      <x:c r="O297" s="36"/>
      <x:c r="P297" s="40"/>
      <x:c r="Q297" s="36" t="str">
        <x:f>IF(P297="","",P297-TODAY())</x:f>
      </x:c>
      <x:c r="R297" s="36" t="str">
        <x:f>IF(E297="","",IF(X297="DUPLICATE","STOP — DUPLICATE",IF(OR(N297="Completed",N297="Cancelled",N297="Rejected",N297="Superseded"),"Closed",IF(P297="","No due date",IF(Q297&lt;0,"OVERDUE",IF(Q297&lt;=7,"DUE SOON","Open"))))))</x:f>
      </x:c>
      <x:c r="S297" s="36"/>
      <x:c r="T297" s="36"/>
      <x:c r="U297" s="36"/>
      <x:c r="V297" s="42"/>
      <x:c r="W297" s="36"/>
      <x:c r="X297" s="36" t="str">
        <x:f>IF(E297="","",IF(COUNTIF($E$7:$E$506,E297)&gt;1,"DUPLICATE","OK"))</x:f>
      </x:c>
    </x:row>
    <x:row r="298">
      <x:c r="A298" s="36" t="str">
        <x:v>NEX</x:v>
      </x:c>
      <x:c r="B298" s="36"/>
      <x:c r="C298" s="38"/>
      <x:c r="D298" s="38"/>
      <x:c r="E298" s="36" t="str">
        <x:f>IF(OR(A298="",B298="",C298="",D298=""),"",A298&amp;"-"&amp;B298&amp;"-"&amp;TEXT(C298,"0000")&amp;"-"&amp;TEXT(D298,"0000"))</x:f>
      </x:c>
      <x:c r="F298" s="36" t="str">
        <x:v>R0</x:v>
      </x:c>
      <x:c r="G298" s="40"/>
      <x:c r="H298" s="40"/>
      <x:c r="I298" s="36"/>
      <x:c r="J298" s="36"/>
      <x:c r="K298" s="36"/>
      <x:c r="L298" s="44"/>
      <x:c r="M298" s="36" t="str">
        <x:v>MYR</x:v>
      </x:c>
      <x:c r="N298" s="36"/>
      <x:c r="O298" s="36"/>
      <x:c r="P298" s="40"/>
      <x:c r="Q298" s="36" t="str">
        <x:f>IF(P298="","",P298-TODAY())</x:f>
      </x:c>
      <x:c r="R298" s="36" t="str">
        <x:f>IF(E298="","",IF(X298="DUPLICATE","STOP — DUPLICATE",IF(OR(N298="Completed",N298="Cancelled",N298="Rejected",N298="Superseded"),"Closed",IF(P298="","No due date",IF(Q298&lt;0,"OVERDUE",IF(Q298&lt;=7,"DUE SOON","Open"))))))</x:f>
      </x:c>
      <x:c r="S298" s="36"/>
      <x:c r="T298" s="36"/>
      <x:c r="U298" s="36"/>
      <x:c r="V298" s="42"/>
      <x:c r="W298" s="36"/>
      <x:c r="X298" s="36" t="str">
        <x:f>IF(E298="","",IF(COUNTIF($E$7:$E$506,E298)&gt;1,"DUPLICATE","OK"))</x:f>
      </x:c>
    </x:row>
    <x:row r="299">
      <x:c r="A299" s="36" t="str">
        <x:v>NEX</x:v>
      </x:c>
      <x:c r="B299" s="36"/>
      <x:c r="C299" s="38"/>
      <x:c r="D299" s="38"/>
      <x:c r="E299" s="36" t="str">
        <x:f>IF(OR(A299="",B299="",C299="",D299=""),"",A299&amp;"-"&amp;B299&amp;"-"&amp;TEXT(C299,"0000")&amp;"-"&amp;TEXT(D299,"0000"))</x:f>
      </x:c>
      <x:c r="F299" s="36" t="str">
        <x:v>R0</x:v>
      </x:c>
      <x:c r="G299" s="40"/>
      <x:c r="H299" s="40"/>
      <x:c r="I299" s="36"/>
      <x:c r="J299" s="36"/>
      <x:c r="K299" s="36"/>
      <x:c r="L299" s="44"/>
      <x:c r="M299" s="36" t="str">
        <x:v>MYR</x:v>
      </x:c>
      <x:c r="N299" s="36"/>
      <x:c r="O299" s="36"/>
      <x:c r="P299" s="40"/>
      <x:c r="Q299" s="36" t="str">
        <x:f>IF(P299="","",P299-TODAY())</x:f>
      </x:c>
      <x:c r="R299" s="36" t="str">
        <x:f>IF(E299="","",IF(X299="DUPLICATE","STOP — DUPLICATE",IF(OR(N299="Completed",N299="Cancelled",N299="Rejected",N299="Superseded"),"Closed",IF(P299="","No due date",IF(Q299&lt;0,"OVERDUE",IF(Q299&lt;=7,"DUE SOON","Open"))))))</x:f>
      </x:c>
      <x:c r="S299" s="36"/>
      <x:c r="T299" s="36"/>
      <x:c r="U299" s="36"/>
      <x:c r="V299" s="42"/>
      <x:c r="W299" s="36"/>
      <x:c r="X299" s="36" t="str">
        <x:f>IF(E299="","",IF(COUNTIF($E$7:$E$506,E299)&gt;1,"DUPLICATE","OK"))</x:f>
      </x:c>
    </x:row>
    <x:row r="300">
      <x:c r="A300" s="36" t="str">
        <x:v>NEX</x:v>
      </x:c>
      <x:c r="B300" s="36"/>
      <x:c r="C300" s="38"/>
      <x:c r="D300" s="38"/>
      <x:c r="E300" s="36" t="str">
        <x:f>IF(OR(A300="",B300="",C300="",D300=""),"",A300&amp;"-"&amp;B300&amp;"-"&amp;TEXT(C300,"0000")&amp;"-"&amp;TEXT(D300,"0000"))</x:f>
      </x:c>
      <x:c r="F300" s="36" t="str">
        <x:v>R0</x:v>
      </x:c>
      <x:c r="G300" s="40"/>
      <x:c r="H300" s="40"/>
      <x:c r="I300" s="36"/>
      <x:c r="J300" s="36"/>
      <x:c r="K300" s="36"/>
      <x:c r="L300" s="44"/>
      <x:c r="M300" s="36" t="str">
        <x:v>MYR</x:v>
      </x:c>
      <x:c r="N300" s="36"/>
      <x:c r="O300" s="36"/>
      <x:c r="P300" s="40"/>
      <x:c r="Q300" s="36" t="str">
        <x:f>IF(P300="","",P300-TODAY())</x:f>
      </x:c>
      <x:c r="R300" s="36" t="str">
        <x:f>IF(E300="","",IF(X300="DUPLICATE","STOP — DUPLICATE",IF(OR(N300="Completed",N300="Cancelled",N300="Rejected",N300="Superseded"),"Closed",IF(P300="","No due date",IF(Q300&lt;0,"OVERDUE",IF(Q300&lt;=7,"DUE SOON","Open"))))))</x:f>
      </x:c>
      <x:c r="S300" s="36"/>
      <x:c r="T300" s="36"/>
      <x:c r="U300" s="36"/>
      <x:c r="V300" s="42"/>
      <x:c r="W300" s="36"/>
      <x:c r="X300" s="36" t="str">
        <x:f>IF(E300="","",IF(COUNTIF($E$7:$E$506,E300)&gt;1,"DUPLICATE","OK"))</x:f>
      </x:c>
    </x:row>
    <x:row r="301">
      <x:c r="A301" s="36" t="str">
        <x:v>NEX</x:v>
      </x:c>
      <x:c r="B301" s="36"/>
      <x:c r="C301" s="38"/>
      <x:c r="D301" s="38"/>
      <x:c r="E301" s="36" t="str">
        <x:f>IF(OR(A301="",B301="",C301="",D301=""),"",A301&amp;"-"&amp;B301&amp;"-"&amp;TEXT(C301,"0000")&amp;"-"&amp;TEXT(D301,"0000"))</x:f>
      </x:c>
      <x:c r="F301" s="36" t="str">
        <x:v>R0</x:v>
      </x:c>
      <x:c r="G301" s="40"/>
      <x:c r="H301" s="40"/>
      <x:c r="I301" s="36"/>
      <x:c r="J301" s="36"/>
      <x:c r="K301" s="36"/>
      <x:c r="L301" s="44"/>
      <x:c r="M301" s="36" t="str">
        <x:v>MYR</x:v>
      </x:c>
      <x:c r="N301" s="36"/>
      <x:c r="O301" s="36"/>
      <x:c r="P301" s="40"/>
      <x:c r="Q301" s="36" t="str">
        <x:f>IF(P301="","",P301-TODAY())</x:f>
      </x:c>
      <x:c r="R301" s="36" t="str">
        <x:f>IF(E301="","",IF(X301="DUPLICATE","STOP — DUPLICATE",IF(OR(N301="Completed",N301="Cancelled",N301="Rejected",N301="Superseded"),"Closed",IF(P301="","No due date",IF(Q301&lt;0,"OVERDUE",IF(Q301&lt;=7,"DUE SOON","Open"))))))</x:f>
      </x:c>
      <x:c r="S301" s="36"/>
      <x:c r="T301" s="36"/>
      <x:c r="U301" s="36"/>
      <x:c r="V301" s="42"/>
      <x:c r="W301" s="36"/>
      <x:c r="X301" s="36" t="str">
        <x:f>IF(E301="","",IF(COUNTIF($E$7:$E$506,E301)&gt;1,"DUPLICATE","OK"))</x:f>
      </x:c>
    </x:row>
    <x:row r="302">
      <x:c r="A302" s="36" t="str">
        <x:v>NEX</x:v>
      </x:c>
      <x:c r="B302" s="36"/>
      <x:c r="C302" s="38"/>
      <x:c r="D302" s="38"/>
      <x:c r="E302" s="36" t="str">
        <x:f>IF(OR(A302="",B302="",C302="",D302=""),"",A302&amp;"-"&amp;B302&amp;"-"&amp;TEXT(C302,"0000")&amp;"-"&amp;TEXT(D302,"0000"))</x:f>
      </x:c>
      <x:c r="F302" s="36" t="str">
        <x:v>R0</x:v>
      </x:c>
      <x:c r="G302" s="40"/>
      <x:c r="H302" s="40"/>
      <x:c r="I302" s="36"/>
      <x:c r="J302" s="36"/>
      <x:c r="K302" s="36"/>
      <x:c r="L302" s="44"/>
      <x:c r="M302" s="36" t="str">
        <x:v>MYR</x:v>
      </x:c>
      <x:c r="N302" s="36"/>
      <x:c r="O302" s="36"/>
      <x:c r="P302" s="40"/>
      <x:c r="Q302" s="36" t="str">
        <x:f>IF(P302="","",P302-TODAY())</x:f>
      </x:c>
      <x:c r="R302" s="36" t="str">
        <x:f>IF(E302="","",IF(X302="DUPLICATE","STOP — DUPLICATE",IF(OR(N302="Completed",N302="Cancelled",N302="Rejected",N302="Superseded"),"Closed",IF(P302="","No due date",IF(Q302&lt;0,"OVERDUE",IF(Q302&lt;=7,"DUE SOON","Open"))))))</x:f>
      </x:c>
      <x:c r="S302" s="36"/>
      <x:c r="T302" s="36"/>
      <x:c r="U302" s="36"/>
      <x:c r="V302" s="42"/>
      <x:c r="W302" s="36"/>
      <x:c r="X302" s="36" t="str">
        <x:f>IF(E302="","",IF(COUNTIF($E$7:$E$506,E302)&gt;1,"DUPLICATE","OK"))</x:f>
      </x:c>
    </x:row>
    <x:row r="303">
      <x:c r="A303" s="36" t="str">
        <x:v>NEX</x:v>
      </x:c>
      <x:c r="B303" s="36"/>
      <x:c r="C303" s="38"/>
      <x:c r="D303" s="38"/>
      <x:c r="E303" s="36" t="str">
        <x:f>IF(OR(A303="",B303="",C303="",D303=""),"",A303&amp;"-"&amp;B303&amp;"-"&amp;TEXT(C303,"0000")&amp;"-"&amp;TEXT(D303,"0000"))</x:f>
      </x:c>
      <x:c r="F303" s="36" t="str">
        <x:v>R0</x:v>
      </x:c>
      <x:c r="G303" s="40"/>
      <x:c r="H303" s="40"/>
      <x:c r="I303" s="36"/>
      <x:c r="J303" s="36"/>
      <x:c r="K303" s="36"/>
      <x:c r="L303" s="44"/>
      <x:c r="M303" s="36" t="str">
        <x:v>MYR</x:v>
      </x:c>
      <x:c r="N303" s="36"/>
      <x:c r="O303" s="36"/>
      <x:c r="P303" s="40"/>
      <x:c r="Q303" s="36" t="str">
        <x:f>IF(P303="","",P303-TODAY())</x:f>
      </x:c>
      <x:c r="R303" s="36" t="str">
        <x:f>IF(E303="","",IF(X303="DUPLICATE","STOP — DUPLICATE",IF(OR(N303="Completed",N303="Cancelled",N303="Rejected",N303="Superseded"),"Closed",IF(P303="","No due date",IF(Q303&lt;0,"OVERDUE",IF(Q303&lt;=7,"DUE SOON","Open"))))))</x:f>
      </x:c>
      <x:c r="S303" s="36"/>
      <x:c r="T303" s="36"/>
      <x:c r="U303" s="36"/>
      <x:c r="V303" s="42"/>
      <x:c r="W303" s="36"/>
      <x:c r="X303" s="36" t="str">
        <x:f>IF(E303="","",IF(COUNTIF($E$7:$E$506,E303)&gt;1,"DUPLICATE","OK"))</x:f>
      </x:c>
    </x:row>
    <x:row r="304">
      <x:c r="A304" s="36" t="str">
        <x:v>NEX</x:v>
      </x:c>
      <x:c r="B304" s="36"/>
      <x:c r="C304" s="38"/>
      <x:c r="D304" s="38"/>
      <x:c r="E304" s="36" t="str">
        <x:f>IF(OR(A304="",B304="",C304="",D304=""),"",A304&amp;"-"&amp;B304&amp;"-"&amp;TEXT(C304,"0000")&amp;"-"&amp;TEXT(D304,"0000"))</x:f>
      </x:c>
      <x:c r="F304" s="36" t="str">
        <x:v>R0</x:v>
      </x:c>
      <x:c r="G304" s="40"/>
      <x:c r="H304" s="40"/>
      <x:c r="I304" s="36"/>
      <x:c r="J304" s="36"/>
      <x:c r="K304" s="36"/>
      <x:c r="L304" s="44"/>
      <x:c r="M304" s="36" t="str">
        <x:v>MYR</x:v>
      </x:c>
      <x:c r="N304" s="36"/>
      <x:c r="O304" s="36"/>
      <x:c r="P304" s="40"/>
      <x:c r="Q304" s="36" t="str">
        <x:f>IF(P304="","",P304-TODAY())</x:f>
      </x:c>
      <x:c r="R304" s="36" t="str">
        <x:f>IF(E304="","",IF(X304="DUPLICATE","STOP — DUPLICATE",IF(OR(N304="Completed",N304="Cancelled",N304="Rejected",N304="Superseded"),"Closed",IF(P304="","No due date",IF(Q304&lt;0,"OVERDUE",IF(Q304&lt;=7,"DUE SOON","Open"))))))</x:f>
      </x:c>
      <x:c r="S304" s="36"/>
      <x:c r="T304" s="36"/>
      <x:c r="U304" s="36"/>
      <x:c r="V304" s="42"/>
      <x:c r="W304" s="36"/>
      <x:c r="X304" s="36" t="str">
        <x:f>IF(E304="","",IF(COUNTIF($E$7:$E$506,E304)&gt;1,"DUPLICATE","OK"))</x:f>
      </x:c>
    </x:row>
    <x:row r="305">
      <x:c r="A305" s="36" t="str">
        <x:v>NEX</x:v>
      </x:c>
      <x:c r="B305" s="36"/>
      <x:c r="C305" s="38"/>
      <x:c r="D305" s="38"/>
      <x:c r="E305" s="36" t="str">
        <x:f>IF(OR(A305="",B305="",C305="",D305=""),"",A305&amp;"-"&amp;B305&amp;"-"&amp;TEXT(C305,"0000")&amp;"-"&amp;TEXT(D305,"0000"))</x:f>
      </x:c>
      <x:c r="F305" s="36" t="str">
        <x:v>R0</x:v>
      </x:c>
      <x:c r="G305" s="40"/>
      <x:c r="H305" s="40"/>
      <x:c r="I305" s="36"/>
      <x:c r="J305" s="36"/>
      <x:c r="K305" s="36"/>
      <x:c r="L305" s="44"/>
      <x:c r="M305" s="36" t="str">
        <x:v>MYR</x:v>
      </x:c>
      <x:c r="N305" s="36"/>
      <x:c r="O305" s="36"/>
      <x:c r="P305" s="40"/>
      <x:c r="Q305" s="36" t="str">
        <x:f>IF(P305="","",P305-TODAY())</x:f>
      </x:c>
      <x:c r="R305" s="36" t="str">
        <x:f>IF(E305="","",IF(X305="DUPLICATE","STOP — DUPLICATE",IF(OR(N305="Completed",N305="Cancelled",N305="Rejected",N305="Superseded"),"Closed",IF(P305="","No due date",IF(Q305&lt;0,"OVERDUE",IF(Q305&lt;=7,"DUE SOON","Open"))))))</x:f>
      </x:c>
      <x:c r="S305" s="36"/>
      <x:c r="T305" s="36"/>
      <x:c r="U305" s="36"/>
      <x:c r="V305" s="42"/>
      <x:c r="W305" s="36"/>
      <x:c r="X305" s="36" t="str">
        <x:f>IF(E305="","",IF(COUNTIF($E$7:$E$506,E305)&gt;1,"DUPLICATE","OK"))</x:f>
      </x:c>
    </x:row>
    <x:row r="306">
      <x:c r="A306" s="36" t="str">
        <x:v>NEX</x:v>
      </x:c>
      <x:c r="B306" s="36"/>
      <x:c r="C306" s="38"/>
      <x:c r="D306" s="38"/>
      <x:c r="E306" s="36" t="str">
        <x:f>IF(OR(A306="",B306="",C306="",D306=""),"",A306&amp;"-"&amp;B306&amp;"-"&amp;TEXT(C306,"0000")&amp;"-"&amp;TEXT(D306,"0000"))</x:f>
      </x:c>
      <x:c r="F306" s="36" t="str">
        <x:v>R0</x:v>
      </x:c>
      <x:c r="G306" s="40"/>
      <x:c r="H306" s="40"/>
      <x:c r="I306" s="36"/>
      <x:c r="J306" s="36"/>
      <x:c r="K306" s="36"/>
      <x:c r="L306" s="44"/>
      <x:c r="M306" s="36" t="str">
        <x:v>MYR</x:v>
      </x:c>
      <x:c r="N306" s="36"/>
      <x:c r="O306" s="36"/>
      <x:c r="P306" s="40"/>
      <x:c r="Q306" s="36" t="str">
        <x:f>IF(P306="","",P306-TODAY())</x:f>
      </x:c>
      <x:c r="R306" s="36" t="str">
        <x:f>IF(E306="","",IF(X306="DUPLICATE","STOP — DUPLICATE",IF(OR(N306="Completed",N306="Cancelled",N306="Rejected",N306="Superseded"),"Closed",IF(P306="","No due date",IF(Q306&lt;0,"OVERDUE",IF(Q306&lt;=7,"DUE SOON","Open"))))))</x:f>
      </x:c>
      <x:c r="S306" s="36"/>
      <x:c r="T306" s="36"/>
      <x:c r="U306" s="36"/>
      <x:c r="V306" s="42"/>
      <x:c r="W306" s="36"/>
      <x:c r="X306" s="36" t="str">
        <x:f>IF(E306="","",IF(COUNTIF($E$7:$E$506,E306)&gt;1,"DUPLICATE","OK"))</x:f>
      </x:c>
    </x:row>
    <x:row r="307">
      <x:c r="A307" s="36" t="str">
        <x:v>NEX</x:v>
      </x:c>
      <x:c r="B307" s="36"/>
      <x:c r="C307" s="38"/>
      <x:c r="D307" s="38"/>
      <x:c r="E307" s="36" t="str">
        <x:f>IF(OR(A307="",B307="",C307="",D307=""),"",A307&amp;"-"&amp;B307&amp;"-"&amp;TEXT(C307,"0000")&amp;"-"&amp;TEXT(D307,"0000"))</x:f>
      </x:c>
      <x:c r="F307" s="36" t="str">
        <x:v>R0</x:v>
      </x:c>
      <x:c r="G307" s="40"/>
      <x:c r="H307" s="40"/>
      <x:c r="I307" s="36"/>
      <x:c r="J307" s="36"/>
      <x:c r="K307" s="36"/>
      <x:c r="L307" s="44"/>
      <x:c r="M307" s="36" t="str">
        <x:v>MYR</x:v>
      </x:c>
      <x:c r="N307" s="36"/>
      <x:c r="O307" s="36"/>
      <x:c r="P307" s="40"/>
      <x:c r="Q307" s="36" t="str">
        <x:f>IF(P307="","",P307-TODAY())</x:f>
      </x:c>
      <x:c r="R307" s="36" t="str">
        <x:f>IF(E307="","",IF(X307="DUPLICATE","STOP — DUPLICATE",IF(OR(N307="Completed",N307="Cancelled",N307="Rejected",N307="Superseded"),"Closed",IF(P307="","No due date",IF(Q307&lt;0,"OVERDUE",IF(Q307&lt;=7,"DUE SOON","Open"))))))</x:f>
      </x:c>
      <x:c r="S307" s="36"/>
      <x:c r="T307" s="36"/>
      <x:c r="U307" s="36"/>
      <x:c r="V307" s="42"/>
      <x:c r="W307" s="36"/>
      <x:c r="X307" s="36" t="str">
        <x:f>IF(E307="","",IF(COUNTIF($E$7:$E$506,E307)&gt;1,"DUPLICATE","OK"))</x:f>
      </x:c>
    </x:row>
    <x:row r="308">
      <x:c r="A308" s="36" t="str">
        <x:v>NEX</x:v>
      </x:c>
      <x:c r="B308" s="36"/>
      <x:c r="C308" s="38"/>
      <x:c r="D308" s="38"/>
      <x:c r="E308" s="36" t="str">
        <x:f>IF(OR(A308="",B308="",C308="",D308=""),"",A308&amp;"-"&amp;B308&amp;"-"&amp;TEXT(C308,"0000")&amp;"-"&amp;TEXT(D308,"0000"))</x:f>
      </x:c>
      <x:c r="F308" s="36" t="str">
        <x:v>R0</x:v>
      </x:c>
      <x:c r="G308" s="40"/>
      <x:c r="H308" s="40"/>
      <x:c r="I308" s="36"/>
      <x:c r="J308" s="36"/>
      <x:c r="K308" s="36"/>
      <x:c r="L308" s="44"/>
      <x:c r="M308" s="36" t="str">
        <x:v>MYR</x:v>
      </x:c>
      <x:c r="N308" s="36"/>
      <x:c r="O308" s="36"/>
      <x:c r="P308" s="40"/>
      <x:c r="Q308" s="36" t="str">
        <x:f>IF(P308="","",P308-TODAY())</x:f>
      </x:c>
      <x:c r="R308" s="36" t="str">
        <x:f>IF(E308="","",IF(X308="DUPLICATE","STOP — DUPLICATE",IF(OR(N308="Completed",N308="Cancelled",N308="Rejected",N308="Superseded"),"Closed",IF(P308="","No due date",IF(Q308&lt;0,"OVERDUE",IF(Q308&lt;=7,"DUE SOON","Open"))))))</x:f>
      </x:c>
      <x:c r="S308" s="36"/>
      <x:c r="T308" s="36"/>
      <x:c r="U308" s="36"/>
      <x:c r="V308" s="42"/>
      <x:c r="W308" s="36"/>
      <x:c r="X308" s="36" t="str">
        <x:f>IF(E308="","",IF(COUNTIF($E$7:$E$506,E308)&gt;1,"DUPLICATE","OK"))</x:f>
      </x:c>
    </x:row>
    <x:row r="309">
      <x:c r="A309" s="36" t="str">
        <x:v>NEX</x:v>
      </x:c>
      <x:c r="B309" s="36"/>
      <x:c r="C309" s="38"/>
      <x:c r="D309" s="38"/>
      <x:c r="E309" s="36" t="str">
        <x:f>IF(OR(A309="",B309="",C309="",D309=""),"",A309&amp;"-"&amp;B309&amp;"-"&amp;TEXT(C309,"0000")&amp;"-"&amp;TEXT(D309,"0000"))</x:f>
      </x:c>
      <x:c r="F309" s="36" t="str">
        <x:v>R0</x:v>
      </x:c>
      <x:c r="G309" s="40"/>
      <x:c r="H309" s="40"/>
      <x:c r="I309" s="36"/>
      <x:c r="J309" s="36"/>
      <x:c r="K309" s="36"/>
      <x:c r="L309" s="44"/>
      <x:c r="M309" s="36" t="str">
        <x:v>MYR</x:v>
      </x:c>
      <x:c r="N309" s="36"/>
      <x:c r="O309" s="36"/>
      <x:c r="P309" s="40"/>
      <x:c r="Q309" s="36" t="str">
        <x:f>IF(P309="","",P309-TODAY())</x:f>
      </x:c>
      <x:c r="R309" s="36" t="str">
        <x:f>IF(E309="","",IF(X309="DUPLICATE","STOP — DUPLICATE",IF(OR(N309="Completed",N309="Cancelled",N309="Rejected",N309="Superseded"),"Closed",IF(P309="","No due date",IF(Q309&lt;0,"OVERDUE",IF(Q309&lt;=7,"DUE SOON","Open"))))))</x:f>
      </x:c>
      <x:c r="S309" s="36"/>
      <x:c r="T309" s="36"/>
      <x:c r="U309" s="36"/>
      <x:c r="V309" s="42"/>
      <x:c r="W309" s="36"/>
      <x:c r="X309" s="36" t="str">
        <x:f>IF(E309="","",IF(COUNTIF($E$7:$E$506,E309)&gt;1,"DUPLICATE","OK"))</x:f>
      </x:c>
    </x:row>
    <x:row r="310">
      <x:c r="A310" s="36" t="str">
        <x:v>NEX</x:v>
      </x:c>
      <x:c r="B310" s="36"/>
      <x:c r="C310" s="38"/>
      <x:c r="D310" s="38"/>
      <x:c r="E310" s="36" t="str">
        <x:f>IF(OR(A310="",B310="",C310="",D310=""),"",A310&amp;"-"&amp;B310&amp;"-"&amp;TEXT(C310,"0000")&amp;"-"&amp;TEXT(D310,"0000"))</x:f>
      </x:c>
      <x:c r="F310" s="36" t="str">
        <x:v>R0</x:v>
      </x:c>
      <x:c r="G310" s="40"/>
      <x:c r="H310" s="40"/>
      <x:c r="I310" s="36"/>
      <x:c r="J310" s="36"/>
      <x:c r="K310" s="36"/>
      <x:c r="L310" s="44"/>
      <x:c r="M310" s="36" t="str">
        <x:v>MYR</x:v>
      </x:c>
      <x:c r="N310" s="36"/>
      <x:c r="O310" s="36"/>
      <x:c r="P310" s="40"/>
      <x:c r="Q310" s="36" t="str">
        <x:f>IF(P310="","",P310-TODAY())</x:f>
      </x:c>
      <x:c r="R310" s="36" t="str">
        <x:f>IF(E310="","",IF(X310="DUPLICATE","STOP — DUPLICATE",IF(OR(N310="Completed",N310="Cancelled",N310="Rejected",N310="Superseded"),"Closed",IF(P310="","No due date",IF(Q310&lt;0,"OVERDUE",IF(Q310&lt;=7,"DUE SOON","Open"))))))</x:f>
      </x:c>
      <x:c r="S310" s="36"/>
      <x:c r="T310" s="36"/>
      <x:c r="U310" s="36"/>
      <x:c r="V310" s="42"/>
      <x:c r="W310" s="36"/>
      <x:c r="X310" s="36" t="str">
        <x:f>IF(E310="","",IF(COUNTIF($E$7:$E$506,E310)&gt;1,"DUPLICATE","OK"))</x:f>
      </x:c>
    </x:row>
    <x:row r="311">
      <x:c r="A311" s="36" t="str">
        <x:v>NEX</x:v>
      </x:c>
      <x:c r="B311" s="36"/>
      <x:c r="C311" s="38"/>
      <x:c r="D311" s="38"/>
      <x:c r="E311" s="36" t="str">
        <x:f>IF(OR(A311="",B311="",C311="",D311=""),"",A311&amp;"-"&amp;B311&amp;"-"&amp;TEXT(C311,"0000")&amp;"-"&amp;TEXT(D311,"0000"))</x:f>
      </x:c>
      <x:c r="F311" s="36" t="str">
        <x:v>R0</x:v>
      </x:c>
      <x:c r="G311" s="40"/>
      <x:c r="H311" s="40"/>
      <x:c r="I311" s="36"/>
      <x:c r="J311" s="36"/>
      <x:c r="K311" s="36"/>
      <x:c r="L311" s="44"/>
      <x:c r="M311" s="36" t="str">
        <x:v>MYR</x:v>
      </x:c>
      <x:c r="N311" s="36"/>
      <x:c r="O311" s="36"/>
      <x:c r="P311" s="40"/>
      <x:c r="Q311" s="36" t="str">
        <x:f>IF(P311="","",P311-TODAY())</x:f>
      </x:c>
      <x:c r="R311" s="36" t="str">
        <x:f>IF(E311="","",IF(X311="DUPLICATE","STOP — DUPLICATE",IF(OR(N311="Completed",N311="Cancelled",N311="Rejected",N311="Superseded"),"Closed",IF(P311="","No due date",IF(Q311&lt;0,"OVERDUE",IF(Q311&lt;=7,"DUE SOON","Open"))))))</x:f>
      </x:c>
      <x:c r="S311" s="36"/>
      <x:c r="T311" s="36"/>
      <x:c r="U311" s="36"/>
      <x:c r="V311" s="42"/>
      <x:c r="W311" s="36"/>
      <x:c r="X311" s="36" t="str">
        <x:f>IF(E311="","",IF(COUNTIF($E$7:$E$506,E311)&gt;1,"DUPLICATE","OK"))</x:f>
      </x:c>
    </x:row>
    <x:row r="312">
      <x:c r="A312" s="36" t="str">
        <x:v>NEX</x:v>
      </x:c>
      <x:c r="B312" s="36"/>
      <x:c r="C312" s="38"/>
      <x:c r="D312" s="38"/>
      <x:c r="E312" s="36" t="str">
        <x:f>IF(OR(A312="",B312="",C312="",D312=""),"",A312&amp;"-"&amp;B312&amp;"-"&amp;TEXT(C312,"0000")&amp;"-"&amp;TEXT(D312,"0000"))</x:f>
      </x:c>
      <x:c r="F312" s="36" t="str">
        <x:v>R0</x:v>
      </x:c>
      <x:c r="G312" s="40"/>
      <x:c r="H312" s="40"/>
      <x:c r="I312" s="36"/>
      <x:c r="J312" s="36"/>
      <x:c r="K312" s="36"/>
      <x:c r="L312" s="44"/>
      <x:c r="M312" s="36" t="str">
        <x:v>MYR</x:v>
      </x:c>
      <x:c r="N312" s="36"/>
      <x:c r="O312" s="36"/>
      <x:c r="P312" s="40"/>
      <x:c r="Q312" s="36" t="str">
        <x:f>IF(P312="","",P312-TODAY())</x:f>
      </x:c>
      <x:c r="R312" s="36" t="str">
        <x:f>IF(E312="","",IF(X312="DUPLICATE","STOP — DUPLICATE",IF(OR(N312="Completed",N312="Cancelled",N312="Rejected",N312="Superseded"),"Closed",IF(P312="","No due date",IF(Q312&lt;0,"OVERDUE",IF(Q312&lt;=7,"DUE SOON","Open"))))))</x:f>
      </x:c>
      <x:c r="S312" s="36"/>
      <x:c r="T312" s="36"/>
      <x:c r="U312" s="36"/>
      <x:c r="V312" s="42"/>
      <x:c r="W312" s="36"/>
      <x:c r="X312" s="36" t="str">
        <x:f>IF(E312="","",IF(COUNTIF($E$7:$E$506,E312)&gt;1,"DUPLICATE","OK"))</x:f>
      </x:c>
    </x:row>
    <x:row r="313">
      <x:c r="A313" s="36" t="str">
        <x:v>NEX</x:v>
      </x:c>
      <x:c r="B313" s="36"/>
      <x:c r="C313" s="38"/>
      <x:c r="D313" s="38"/>
      <x:c r="E313" s="36" t="str">
        <x:f>IF(OR(A313="",B313="",C313="",D313=""),"",A313&amp;"-"&amp;B313&amp;"-"&amp;TEXT(C313,"0000")&amp;"-"&amp;TEXT(D313,"0000"))</x:f>
      </x:c>
      <x:c r="F313" s="36" t="str">
        <x:v>R0</x:v>
      </x:c>
      <x:c r="G313" s="40"/>
      <x:c r="H313" s="40"/>
      <x:c r="I313" s="36"/>
      <x:c r="J313" s="36"/>
      <x:c r="K313" s="36"/>
      <x:c r="L313" s="44"/>
      <x:c r="M313" s="36" t="str">
        <x:v>MYR</x:v>
      </x:c>
      <x:c r="N313" s="36"/>
      <x:c r="O313" s="36"/>
      <x:c r="P313" s="40"/>
      <x:c r="Q313" s="36" t="str">
        <x:f>IF(P313="","",P313-TODAY())</x:f>
      </x:c>
      <x:c r="R313" s="36" t="str">
        <x:f>IF(E313="","",IF(X313="DUPLICATE","STOP — DUPLICATE",IF(OR(N313="Completed",N313="Cancelled",N313="Rejected",N313="Superseded"),"Closed",IF(P313="","No due date",IF(Q313&lt;0,"OVERDUE",IF(Q313&lt;=7,"DUE SOON","Open"))))))</x:f>
      </x:c>
      <x:c r="S313" s="36"/>
      <x:c r="T313" s="36"/>
      <x:c r="U313" s="36"/>
      <x:c r="V313" s="42"/>
      <x:c r="W313" s="36"/>
      <x:c r="X313" s="36" t="str">
        <x:f>IF(E313="","",IF(COUNTIF($E$7:$E$506,E313)&gt;1,"DUPLICATE","OK"))</x:f>
      </x:c>
    </x:row>
    <x:row r="314">
      <x:c r="A314" s="36" t="str">
        <x:v>NEX</x:v>
      </x:c>
      <x:c r="B314" s="36"/>
      <x:c r="C314" s="38"/>
      <x:c r="D314" s="38"/>
      <x:c r="E314" s="36" t="str">
        <x:f>IF(OR(A314="",B314="",C314="",D314=""),"",A314&amp;"-"&amp;B314&amp;"-"&amp;TEXT(C314,"0000")&amp;"-"&amp;TEXT(D314,"0000"))</x:f>
      </x:c>
      <x:c r="F314" s="36" t="str">
        <x:v>R0</x:v>
      </x:c>
      <x:c r="G314" s="40"/>
      <x:c r="H314" s="40"/>
      <x:c r="I314" s="36"/>
      <x:c r="J314" s="36"/>
      <x:c r="K314" s="36"/>
      <x:c r="L314" s="44"/>
      <x:c r="M314" s="36" t="str">
        <x:v>MYR</x:v>
      </x:c>
      <x:c r="N314" s="36"/>
      <x:c r="O314" s="36"/>
      <x:c r="P314" s="40"/>
      <x:c r="Q314" s="36" t="str">
        <x:f>IF(P314="","",P314-TODAY())</x:f>
      </x:c>
      <x:c r="R314" s="36" t="str">
        <x:f>IF(E314="","",IF(X314="DUPLICATE","STOP — DUPLICATE",IF(OR(N314="Completed",N314="Cancelled",N314="Rejected",N314="Superseded"),"Closed",IF(P314="","No due date",IF(Q314&lt;0,"OVERDUE",IF(Q314&lt;=7,"DUE SOON","Open"))))))</x:f>
      </x:c>
      <x:c r="S314" s="36"/>
      <x:c r="T314" s="36"/>
      <x:c r="U314" s="36"/>
      <x:c r="V314" s="42"/>
      <x:c r="W314" s="36"/>
      <x:c r="X314" s="36" t="str">
        <x:f>IF(E314="","",IF(COUNTIF($E$7:$E$506,E314)&gt;1,"DUPLICATE","OK"))</x:f>
      </x:c>
    </x:row>
    <x:row r="315">
      <x:c r="A315" s="36" t="str">
        <x:v>NEX</x:v>
      </x:c>
      <x:c r="B315" s="36"/>
      <x:c r="C315" s="38"/>
      <x:c r="D315" s="38"/>
      <x:c r="E315" s="36" t="str">
        <x:f>IF(OR(A315="",B315="",C315="",D315=""),"",A315&amp;"-"&amp;B315&amp;"-"&amp;TEXT(C315,"0000")&amp;"-"&amp;TEXT(D315,"0000"))</x:f>
      </x:c>
      <x:c r="F315" s="36" t="str">
        <x:v>R0</x:v>
      </x:c>
      <x:c r="G315" s="40"/>
      <x:c r="H315" s="40"/>
      <x:c r="I315" s="36"/>
      <x:c r="J315" s="36"/>
      <x:c r="K315" s="36"/>
      <x:c r="L315" s="44"/>
      <x:c r="M315" s="36" t="str">
        <x:v>MYR</x:v>
      </x:c>
      <x:c r="N315" s="36"/>
      <x:c r="O315" s="36"/>
      <x:c r="P315" s="40"/>
      <x:c r="Q315" s="36" t="str">
        <x:f>IF(P315="","",P315-TODAY())</x:f>
      </x:c>
      <x:c r="R315" s="36" t="str">
        <x:f>IF(E315="","",IF(X315="DUPLICATE","STOP — DUPLICATE",IF(OR(N315="Completed",N315="Cancelled",N315="Rejected",N315="Superseded"),"Closed",IF(P315="","No due date",IF(Q315&lt;0,"OVERDUE",IF(Q315&lt;=7,"DUE SOON","Open"))))))</x:f>
      </x:c>
      <x:c r="S315" s="36"/>
      <x:c r="T315" s="36"/>
      <x:c r="U315" s="36"/>
      <x:c r="V315" s="42"/>
      <x:c r="W315" s="36"/>
      <x:c r="X315" s="36" t="str">
        <x:f>IF(E315="","",IF(COUNTIF($E$7:$E$506,E315)&gt;1,"DUPLICATE","OK"))</x:f>
      </x:c>
    </x:row>
    <x:row r="316">
      <x:c r="A316" s="36" t="str">
        <x:v>NEX</x:v>
      </x:c>
      <x:c r="B316" s="36"/>
      <x:c r="C316" s="38"/>
      <x:c r="D316" s="38"/>
      <x:c r="E316" s="36" t="str">
        <x:f>IF(OR(A316="",B316="",C316="",D316=""),"",A316&amp;"-"&amp;B316&amp;"-"&amp;TEXT(C316,"0000")&amp;"-"&amp;TEXT(D316,"0000"))</x:f>
      </x:c>
      <x:c r="F316" s="36" t="str">
        <x:v>R0</x:v>
      </x:c>
      <x:c r="G316" s="40"/>
      <x:c r="H316" s="40"/>
      <x:c r="I316" s="36"/>
      <x:c r="J316" s="36"/>
      <x:c r="K316" s="36"/>
      <x:c r="L316" s="44"/>
      <x:c r="M316" s="36" t="str">
        <x:v>MYR</x:v>
      </x:c>
      <x:c r="N316" s="36"/>
      <x:c r="O316" s="36"/>
      <x:c r="P316" s="40"/>
      <x:c r="Q316" s="36" t="str">
        <x:f>IF(P316="","",P316-TODAY())</x:f>
      </x:c>
      <x:c r="R316" s="36" t="str">
        <x:f>IF(E316="","",IF(X316="DUPLICATE","STOP — DUPLICATE",IF(OR(N316="Completed",N316="Cancelled",N316="Rejected",N316="Superseded"),"Closed",IF(P316="","No due date",IF(Q316&lt;0,"OVERDUE",IF(Q316&lt;=7,"DUE SOON","Open"))))))</x:f>
      </x:c>
      <x:c r="S316" s="36"/>
      <x:c r="T316" s="36"/>
      <x:c r="U316" s="36"/>
      <x:c r="V316" s="42"/>
      <x:c r="W316" s="36"/>
      <x:c r="X316" s="36" t="str">
        <x:f>IF(E316="","",IF(COUNTIF($E$7:$E$506,E316)&gt;1,"DUPLICATE","OK"))</x:f>
      </x:c>
    </x:row>
    <x:row r="317">
      <x:c r="A317" s="36" t="str">
        <x:v>NEX</x:v>
      </x:c>
      <x:c r="B317" s="36"/>
      <x:c r="C317" s="38"/>
      <x:c r="D317" s="38"/>
      <x:c r="E317" s="36" t="str">
        <x:f>IF(OR(A317="",B317="",C317="",D317=""),"",A317&amp;"-"&amp;B317&amp;"-"&amp;TEXT(C317,"0000")&amp;"-"&amp;TEXT(D317,"0000"))</x:f>
      </x:c>
      <x:c r="F317" s="36" t="str">
        <x:v>R0</x:v>
      </x:c>
      <x:c r="G317" s="40"/>
      <x:c r="H317" s="40"/>
      <x:c r="I317" s="36"/>
      <x:c r="J317" s="36"/>
      <x:c r="K317" s="36"/>
      <x:c r="L317" s="44"/>
      <x:c r="M317" s="36" t="str">
        <x:v>MYR</x:v>
      </x:c>
      <x:c r="N317" s="36"/>
      <x:c r="O317" s="36"/>
      <x:c r="P317" s="40"/>
      <x:c r="Q317" s="36" t="str">
        <x:f>IF(P317="","",P317-TODAY())</x:f>
      </x:c>
      <x:c r="R317" s="36" t="str">
        <x:f>IF(E317="","",IF(X317="DUPLICATE","STOP — DUPLICATE",IF(OR(N317="Completed",N317="Cancelled",N317="Rejected",N317="Superseded"),"Closed",IF(P317="","No due date",IF(Q317&lt;0,"OVERDUE",IF(Q317&lt;=7,"DUE SOON","Open"))))))</x:f>
      </x:c>
      <x:c r="S317" s="36"/>
      <x:c r="T317" s="36"/>
      <x:c r="U317" s="36"/>
      <x:c r="V317" s="42"/>
      <x:c r="W317" s="36"/>
      <x:c r="X317" s="36" t="str">
        <x:f>IF(E317="","",IF(COUNTIF($E$7:$E$506,E317)&gt;1,"DUPLICATE","OK"))</x:f>
      </x:c>
    </x:row>
    <x:row r="318">
      <x:c r="A318" s="36" t="str">
        <x:v>NEX</x:v>
      </x:c>
      <x:c r="B318" s="36"/>
      <x:c r="C318" s="38"/>
      <x:c r="D318" s="38"/>
      <x:c r="E318" s="36" t="str">
        <x:f>IF(OR(A318="",B318="",C318="",D318=""),"",A318&amp;"-"&amp;B318&amp;"-"&amp;TEXT(C318,"0000")&amp;"-"&amp;TEXT(D318,"0000"))</x:f>
      </x:c>
      <x:c r="F318" s="36" t="str">
        <x:v>R0</x:v>
      </x:c>
      <x:c r="G318" s="40"/>
      <x:c r="H318" s="40"/>
      <x:c r="I318" s="36"/>
      <x:c r="J318" s="36"/>
      <x:c r="K318" s="36"/>
      <x:c r="L318" s="44"/>
      <x:c r="M318" s="36" t="str">
        <x:v>MYR</x:v>
      </x:c>
      <x:c r="N318" s="36"/>
      <x:c r="O318" s="36"/>
      <x:c r="P318" s="40"/>
      <x:c r="Q318" s="36" t="str">
        <x:f>IF(P318="","",P318-TODAY())</x:f>
      </x:c>
      <x:c r="R318" s="36" t="str">
        <x:f>IF(E318="","",IF(X318="DUPLICATE","STOP — DUPLICATE",IF(OR(N318="Completed",N318="Cancelled",N318="Rejected",N318="Superseded"),"Closed",IF(P318="","No due date",IF(Q318&lt;0,"OVERDUE",IF(Q318&lt;=7,"DUE SOON","Open"))))))</x:f>
      </x:c>
      <x:c r="S318" s="36"/>
      <x:c r="T318" s="36"/>
      <x:c r="U318" s="36"/>
      <x:c r="V318" s="42"/>
      <x:c r="W318" s="36"/>
      <x:c r="X318" s="36" t="str">
        <x:f>IF(E318="","",IF(COUNTIF($E$7:$E$506,E318)&gt;1,"DUPLICATE","OK"))</x:f>
      </x:c>
    </x:row>
    <x:row r="319">
      <x:c r="A319" s="36" t="str">
        <x:v>NEX</x:v>
      </x:c>
      <x:c r="B319" s="36"/>
      <x:c r="C319" s="38"/>
      <x:c r="D319" s="38"/>
      <x:c r="E319" s="36" t="str">
        <x:f>IF(OR(A319="",B319="",C319="",D319=""),"",A319&amp;"-"&amp;B319&amp;"-"&amp;TEXT(C319,"0000")&amp;"-"&amp;TEXT(D319,"0000"))</x:f>
      </x:c>
      <x:c r="F319" s="36" t="str">
        <x:v>R0</x:v>
      </x:c>
      <x:c r="G319" s="40"/>
      <x:c r="H319" s="40"/>
      <x:c r="I319" s="36"/>
      <x:c r="J319" s="36"/>
      <x:c r="K319" s="36"/>
      <x:c r="L319" s="44"/>
      <x:c r="M319" s="36" t="str">
        <x:v>MYR</x:v>
      </x:c>
      <x:c r="N319" s="36"/>
      <x:c r="O319" s="36"/>
      <x:c r="P319" s="40"/>
      <x:c r="Q319" s="36" t="str">
        <x:f>IF(P319="","",P319-TODAY())</x:f>
      </x:c>
      <x:c r="R319" s="36" t="str">
        <x:f>IF(E319="","",IF(X319="DUPLICATE","STOP — DUPLICATE",IF(OR(N319="Completed",N319="Cancelled",N319="Rejected",N319="Superseded"),"Closed",IF(P319="","No due date",IF(Q319&lt;0,"OVERDUE",IF(Q319&lt;=7,"DUE SOON","Open"))))))</x:f>
      </x:c>
      <x:c r="S319" s="36"/>
      <x:c r="T319" s="36"/>
      <x:c r="U319" s="36"/>
      <x:c r="V319" s="42"/>
      <x:c r="W319" s="36"/>
      <x:c r="X319" s="36" t="str">
        <x:f>IF(E319="","",IF(COUNTIF($E$7:$E$506,E319)&gt;1,"DUPLICATE","OK"))</x:f>
      </x:c>
    </x:row>
    <x:row r="320">
      <x:c r="A320" s="36" t="str">
        <x:v>NEX</x:v>
      </x:c>
      <x:c r="B320" s="36"/>
      <x:c r="C320" s="38"/>
      <x:c r="D320" s="38"/>
      <x:c r="E320" s="36" t="str">
        <x:f>IF(OR(A320="",B320="",C320="",D320=""),"",A320&amp;"-"&amp;B320&amp;"-"&amp;TEXT(C320,"0000")&amp;"-"&amp;TEXT(D320,"0000"))</x:f>
      </x:c>
      <x:c r="F320" s="36" t="str">
        <x:v>R0</x:v>
      </x:c>
      <x:c r="G320" s="40"/>
      <x:c r="H320" s="40"/>
      <x:c r="I320" s="36"/>
      <x:c r="J320" s="36"/>
      <x:c r="K320" s="36"/>
      <x:c r="L320" s="44"/>
      <x:c r="M320" s="36" t="str">
        <x:v>MYR</x:v>
      </x:c>
      <x:c r="N320" s="36"/>
      <x:c r="O320" s="36"/>
      <x:c r="P320" s="40"/>
      <x:c r="Q320" s="36" t="str">
        <x:f>IF(P320="","",P320-TODAY())</x:f>
      </x:c>
      <x:c r="R320" s="36" t="str">
        <x:f>IF(E320="","",IF(X320="DUPLICATE","STOP — DUPLICATE",IF(OR(N320="Completed",N320="Cancelled",N320="Rejected",N320="Superseded"),"Closed",IF(P320="","No due date",IF(Q320&lt;0,"OVERDUE",IF(Q320&lt;=7,"DUE SOON","Open"))))))</x:f>
      </x:c>
      <x:c r="S320" s="36"/>
      <x:c r="T320" s="36"/>
      <x:c r="U320" s="36"/>
      <x:c r="V320" s="42"/>
      <x:c r="W320" s="36"/>
      <x:c r="X320" s="36" t="str">
        <x:f>IF(E320="","",IF(COUNTIF($E$7:$E$506,E320)&gt;1,"DUPLICATE","OK"))</x:f>
      </x:c>
    </x:row>
    <x:row r="321">
      <x:c r="A321" s="36" t="str">
        <x:v>NEX</x:v>
      </x:c>
      <x:c r="B321" s="36"/>
      <x:c r="C321" s="38"/>
      <x:c r="D321" s="38"/>
      <x:c r="E321" s="36" t="str">
        <x:f>IF(OR(A321="",B321="",C321="",D321=""),"",A321&amp;"-"&amp;B321&amp;"-"&amp;TEXT(C321,"0000")&amp;"-"&amp;TEXT(D321,"0000"))</x:f>
      </x:c>
      <x:c r="F321" s="36" t="str">
        <x:v>R0</x:v>
      </x:c>
      <x:c r="G321" s="40"/>
      <x:c r="H321" s="40"/>
      <x:c r="I321" s="36"/>
      <x:c r="J321" s="36"/>
      <x:c r="K321" s="36"/>
      <x:c r="L321" s="44"/>
      <x:c r="M321" s="36" t="str">
        <x:v>MYR</x:v>
      </x:c>
      <x:c r="N321" s="36"/>
      <x:c r="O321" s="36"/>
      <x:c r="P321" s="40"/>
      <x:c r="Q321" s="36" t="str">
        <x:f>IF(P321="","",P321-TODAY())</x:f>
      </x:c>
      <x:c r="R321" s="36" t="str">
        <x:f>IF(E321="","",IF(X321="DUPLICATE","STOP — DUPLICATE",IF(OR(N321="Completed",N321="Cancelled",N321="Rejected",N321="Superseded"),"Closed",IF(P321="","No due date",IF(Q321&lt;0,"OVERDUE",IF(Q321&lt;=7,"DUE SOON","Open"))))))</x:f>
      </x:c>
      <x:c r="S321" s="36"/>
      <x:c r="T321" s="36"/>
      <x:c r="U321" s="36"/>
      <x:c r="V321" s="42"/>
      <x:c r="W321" s="36"/>
      <x:c r="X321" s="36" t="str">
        <x:f>IF(E321="","",IF(COUNTIF($E$7:$E$506,E321)&gt;1,"DUPLICATE","OK"))</x:f>
      </x:c>
    </x:row>
    <x:row r="322">
      <x:c r="A322" s="36" t="str">
        <x:v>NEX</x:v>
      </x:c>
      <x:c r="B322" s="36"/>
      <x:c r="C322" s="38"/>
      <x:c r="D322" s="38"/>
      <x:c r="E322" s="36" t="str">
        <x:f>IF(OR(A322="",B322="",C322="",D322=""),"",A322&amp;"-"&amp;B322&amp;"-"&amp;TEXT(C322,"0000")&amp;"-"&amp;TEXT(D322,"0000"))</x:f>
      </x:c>
      <x:c r="F322" s="36" t="str">
        <x:v>R0</x:v>
      </x:c>
      <x:c r="G322" s="40"/>
      <x:c r="H322" s="40"/>
      <x:c r="I322" s="36"/>
      <x:c r="J322" s="36"/>
      <x:c r="K322" s="36"/>
      <x:c r="L322" s="44"/>
      <x:c r="M322" s="36" t="str">
        <x:v>MYR</x:v>
      </x:c>
      <x:c r="N322" s="36"/>
      <x:c r="O322" s="36"/>
      <x:c r="P322" s="40"/>
      <x:c r="Q322" s="36" t="str">
        <x:f>IF(P322="","",P322-TODAY())</x:f>
      </x:c>
      <x:c r="R322" s="36" t="str">
        <x:f>IF(E322="","",IF(X322="DUPLICATE","STOP — DUPLICATE",IF(OR(N322="Completed",N322="Cancelled",N322="Rejected",N322="Superseded"),"Closed",IF(P322="","No due date",IF(Q322&lt;0,"OVERDUE",IF(Q322&lt;=7,"DUE SOON","Open"))))))</x:f>
      </x:c>
      <x:c r="S322" s="36"/>
      <x:c r="T322" s="36"/>
      <x:c r="U322" s="36"/>
      <x:c r="V322" s="42"/>
      <x:c r="W322" s="36"/>
      <x:c r="X322" s="36" t="str">
        <x:f>IF(E322="","",IF(COUNTIF($E$7:$E$506,E322)&gt;1,"DUPLICATE","OK"))</x:f>
      </x:c>
    </x:row>
    <x:row r="323">
      <x:c r="A323" s="36" t="str">
        <x:v>NEX</x:v>
      </x:c>
      <x:c r="B323" s="36"/>
      <x:c r="C323" s="38"/>
      <x:c r="D323" s="38"/>
      <x:c r="E323" s="36" t="str">
        <x:f>IF(OR(A323="",B323="",C323="",D323=""),"",A323&amp;"-"&amp;B323&amp;"-"&amp;TEXT(C323,"0000")&amp;"-"&amp;TEXT(D323,"0000"))</x:f>
      </x:c>
      <x:c r="F323" s="36" t="str">
        <x:v>R0</x:v>
      </x:c>
      <x:c r="G323" s="40"/>
      <x:c r="H323" s="40"/>
      <x:c r="I323" s="36"/>
      <x:c r="J323" s="36"/>
      <x:c r="K323" s="36"/>
      <x:c r="L323" s="44"/>
      <x:c r="M323" s="36" t="str">
        <x:v>MYR</x:v>
      </x:c>
      <x:c r="N323" s="36"/>
      <x:c r="O323" s="36"/>
      <x:c r="P323" s="40"/>
      <x:c r="Q323" s="36" t="str">
        <x:f>IF(P323="","",P323-TODAY())</x:f>
      </x:c>
      <x:c r="R323" s="36" t="str">
        <x:f>IF(E323="","",IF(X323="DUPLICATE","STOP — DUPLICATE",IF(OR(N323="Completed",N323="Cancelled",N323="Rejected",N323="Superseded"),"Closed",IF(P323="","No due date",IF(Q323&lt;0,"OVERDUE",IF(Q323&lt;=7,"DUE SOON","Open"))))))</x:f>
      </x:c>
      <x:c r="S323" s="36"/>
      <x:c r="T323" s="36"/>
      <x:c r="U323" s="36"/>
      <x:c r="V323" s="42"/>
      <x:c r="W323" s="36"/>
      <x:c r="X323" s="36" t="str">
        <x:f>IF(E323="","",IF(COUNTIF($E$7:$E$506,E323)&gt;1,"DUPLICATE","OK"))</x:f>
      </x:c>
    </x:row>
    <x:row r="324">
      <x:c r="A324" s="36" t="str">
        <x:v>NEX</x:v>
      </x:c>
      <x:c r="B324" s="36"/>
      <x:c r="C324" s="38"/>
      <x:c r="D324" s="38"/>
      <x:c r="E324" s="36" t="str">
        <x:f>IF(OR(A324="",B324="",C324="",D324=""),"",A324&amp;"-"&amp;B324&amp;"-"&amp;TEXT(C324,"0000")&amp;"-"&amp;TEXT(D324,"0000"))</x:f>
      </x:c>
      <x:c r="F324" s="36" t="str">
        <x:v>R0</x:v>
      </x:c>
      <x:c r="G324" s="40"/>
      <x:c r="H324" s="40"/>
      <x:c r="I324" s="36"/>
      <x:c r="J324" s="36"/>
      <x:c r="K324" s="36"/>
      <x:c r="L324" s="44"/>
      <x:c r="M324" s="36" t="str">
        <x:v>MYR</x:v>
      </x:c>
      <x:c r="N324" s="36"/>
      <x:c r="O324" s="36"/>
      <x:c r="P324" s="40"/>
      <x:c r="Q324" s="36" t="str">
        <x:f>IF(P324="","",P324-TODAY())</x:f>
      </x:c>
      <x:c r="R324" s="36" t="str">
        <x:f>IF(E324="","",IF(X324="DUPLICATE","STOP — DUPLICATE",IF(OR(N324="Completed",N324="Cancelled",N324="Rejected",N324="Superseded"),"Closed",IF(P324="","No due date",IF(Q324&lt;0,"OVERDUE",IF(Q324&lt;=7,"DUE SOON","Open"))))))</x:f>
      </x:c>
      <x:c r="S324" s="36"/>
      <x:c r="T324" s="36"/>
      <x:c r="U324" s="36"/>
      <x:c r="V324" s="42"/>
      <x:c r="W324" s="36"/>
      <x:c r="X324" s="36" t="str">
        <x:f>IF(E324="","",IF(COUNTIF($E$7:$E$506,E324)&gt;1,"DUPLICATE","OK"))</x:f>
      </x:c>
    </x:row>
    <x:row r="325">
      <x:c r="A325" s="36" t="str">
        <x:v>NEX</x:v>
      </x:c>
      <x:c r="B325" s="36"/>
      <x:c r="C325" s="38"/>
      <x:c r="D325" s="38"/>
      <x:c r="E325" s="36" t="str">
        <x:f>IF(OR(A325="",B325="",C325="",D325=""),"",A325&amp;"-"&amp;B325&amp;"-"&amp;TEXT(C325,"0000")&amp;"-"&amp;TEXT(D325,"0000"))</x:f>
      </x:c>
      <x:c r="F325" s="36" t="str">
        <x:v>R0</x:v>
      </x:c>
      <x:c r="G325" s="40"/>
      <x:c r="H325" s="40"/>
      <x:c r="I325" s="36"/>
      <x:c r="J325" s="36"/>
      <x:c r="K325" s="36"/>
      <x:c r="L325" s="44"/>
      <x:c r="M325" s="36" t="str">
        <x:v>MYR</x:v>
      </x:c>
      <x:c r="N325" s="36"/>
      <x:c r="O325" s="36"/>
      <x:c r="P325" s="40"/>
      <x:c r="Q325" s="36" t="str">
        <x:f>IF(P325="","",P325-TODAY())</x:f>
      </x:c>
      <x:c r="R325" s="36" t="str">
        <x:f>IF(E325="","",IF(X325="DUPLICATE","STOP — DUPLICATE",IF(OR(N325="Completed",N325="Cancelled",N325="Rejected",N325="Superseded"),"Closed",IF(P325="","No due date",IF(Q325&lt;0,"OVERDUE",IF(Q325&lt;=7,"DUE SOON","Open"))))))</x:f>
      </x:c>
      <x:c r="S325" s="36"/>
      <x:c r="T325" s="36"/>
      <x:c r="U325" s="36"/>
      <x:c r="V325" s="42"/>
      <x:c r="W325" s="36"/>
      <x:c r="X325" s="36" t="str">
        <x:f>IF(E325="","",IF(COUNTIF($E$7:$E$506,E325)&gt;1,"DUPLICATE","OK"))</x:f>
      </x:c>
    </x:row>
    <x:row r="326">
      <x:c r="A326" s="36" t="str">
        <x:v>NEX</x:v>
      </x:c>
      <x:c r="B326" s="36"/>
      <x:c r="C326" s="38"/>
      <x:c r="D326" s="38"/>
      <x:c r="E326" s="36" t="str">
        <x:f>IF(OR(A326="",B326="",C326="",D326=""),"",A326&amp;"-"&amp;B326&amp;"-"&amp;TEXT(C326,"0000")&amp;"-"&amp;TEXT(D326,"0000"))</x:f>
      </x:c>
      <x:c r="F326" s="36" t="str">
        <x:v>R0</x:v>
      </x:c>
      <x:c r="G326" s="40"/>
      <x:c r="H326" s="40"/>
      <x:c r="I326" s="36"/>
      <x:c r="J326" s="36"/>
      <x:c r="K326" s="36"/>
      <x:c r="L326" s="44"/>
      <x:c r="M326" s="36" t="str">
        <x:v>MYR</x:v>
      </x:c>
      <x:c r="N326" s="36"/>
      <x:c r="O326" s="36"/>
      <x:c r="P326" s="40"/>
      <x:c r="Q326" s="36" t="str">
        <x:f>IF(P326="","",P326-TODAY())</x:f>
      </x:c>
      <x:c r="R326" s="36" t="str">
        <x:f>IF(E326="","",IF(X326="DUPLICATE","STOP — DUPLICATE",IF(OR(N326="Completed",N326="Cancelled",N326="Rejected",N326="Superseded"),"Closed",IF(P326="","No due date",IF(Q326&lt;0,"OVERDUE",IF(Q326&lt;=7,"DUE SOON","Open"))))))</x:f>
      </x:c>
      <x:c r="S326" s="36"/>
      <x:c r="T326" s="36"/>
      <x:c r="U326" s="36"/>
      <x:c r="V326" s="42"/>
      <x:c r="W326" s="36"/>
      <x:c r="X326" s="36" t="str">
        <x:f>IF(E326="","",IF(COUNTIF($E$7:$E$506,E326)&gt;1,"DUPLICATE","OK"))</x:f>
      </x:c>
    </x:row>
    <x:row r="327">
      <x:c r="A327" s="36" t="str">
        <x:v>NEX</x:v>
      </x:c>
      <x:c r="B327" s="36"/>
      <x:c r="C327" s="38"/>
      <x:c r="D327" s="38"/>
      <x:c r="E327" s="36" t="str">
        <x:f>IF(OR(A327="",B327="",C327="",D327=""),"",A327&amp;"-"&amp;B327&amp;"-"&amp;TEXT(C327,"0000")&amp;"-"&amp;TEXT(D327,"0000"))</x:f>
      </x:c>
      <x:c r="F327" s="36" t="str">
        <x:v>R0</x:v>
      </x:c>
      <x:c r="G327" s="40"/>
      <x:c r="H327" s="40"/>
      <x:c r="I327" s="36"/>
      <x:c r="J327" s="36"/>
      <x:c r="K327" s="36"/>
      <x:c r="L327" s="44"/>
      <x:c r="M327" s="36" t="str">
        <x:v>MYR</x:v>
      </x:c>
      <x:c r="N327" s="36"/>
      <x:c r="O327" s="36"/>
      <x:c r="P327" s="40"/>
      <x:c r="Q327" s="36" t="str">
        <x:f>IF(P327="","",P327-TODAY())</x:f>
      </x:c>
      <x:c r="R327" s="36" t="str">
        <x:f>IF(E327="","",IF(X327="DUPLICATE","STOP — DUPLICATE",IF(OR(N327="Completed",N327="Cancelled",N327="Rejected",N327="Superseded"),"Closed",IF(P327="","No due date",IF(Q327&lt;0,"OVERDUE",IF(Q327&lt;=7,"DUE SOON","Open"))))))</x:f>
      </x:c>
      <x:c r="S327" s="36"/>
      <x:c r="T327" s="36"/>
      <x:c r="U327" s="36"/>
      <x:c r="V327" s="42"/>
      <x:c r="W327" s="36"/>
      <x:c r="X327" s="36" t="str">
        <x:f>IF(E327="","",IF(COUNTIF($E$7:$E$506,E327)&gt;1,"DUPLICATE","OK"))</x:f>
      </x:c>
    </x:row>
    <x:row r="328">
      <x:c r="A328" s="36" t="str">
        <x:v>NEX</x:v>
      </x:c>
      <x:c r="B328" s="36"/>
      <x:c r="C328" s="38"/>
      <x:c r="D328" s="38"/>
      <x:c r="E328" s="36" t="str">
        <x:f>IF(OR(A328="",B328="",C328="",D328=""),"",A328&amp;"-"&amp;B328&amp;"-"&amp;TEXT(C328,"0000")&amp;"-"&amp;TEXT(D328,"0000"))</x:f>
      </x:c>
      <x:c r="F328" s="36" t="str">
        <x:v>R0</x:v>
      </x:c>
      <x:c r="G328" s="40"/>
      <x:c r="H328" s="40"/>
      <x:c r="I328" s="36"/>
      <x:c r="J328" s="36"/>
      <x:c r="K328" s="36"/>
      <x:c r="L328" s="44"/>
      <x:c r="M328" s="36" t="str">
        <x:v>MYR</x:v>
      </x:c>
      <x:c r="N328" s="36"/>
      <x:c r="O328" s="36"/>
      <x:c r="P328" s="40"/>
      <x:c r="Q328" s="36" t="str">
        <x:f>IF(P328="","",P328-TODAY())</x:f>
      </x:c>
      <x:c r="R328" s="36" t="str">
        <x:f>IF(E328="","",IF(X328="DUPLICATE","STOP — DUPLICATE",IF(OR(N328="Completed",N328="Cancelled",N328="Rejected",N328="Superseded"),"Closed",IF(P328="","No due date",IF(Q328&lt;0,"OVERDUE",IF(Q328&lt;=7,"DUE SOON","Open"))))))</x:f>
      </x:c>
      <x:c r="S328" s="36"/>
      <x:c r="T328" s="36"/>
      <x:c r="U328" s="36"/>
      <x:c r="V328" s="42"/>
      <x:c r="W328" s="36"/>
      <x:c r="X328" s="36" t="str">
        <x:f>IF(E328="","",IF(COUNTIF($E$7:$E$506,E328)&gt;1,"DUPLICATE","OK"))</x:f>
      </x:c>
    </x:row>
    <x:row r="329">
      <x:c r="A329" s="36" t="str">
        <x:v>NEX</x:v>
      </x:c>
      <x:c r="B329" s="36"/>
      <x:c r="C329" s="38"/>
      <x:c r="D329" s="38"/>
      <x:c r="E329" s="36" t="str">
        <x:f>IF(OR(A329="",B329="",C329="",D329=""),"",A329&amp;"-"&amp;B329&amp;"-"&amp;TEXT(C329,"0000")&amp;"-"&amp;TEXT(D329,"0000"))</x:f>
      </x:c>
      <x:c r="F329" s="36" t="str">
        <x:v>R0</x:v>
      </x:c>
      <x:c r="G329" s="40"/>
      <x:c r="H329" s="40"/>
      <x:c r="I329" s="36"/>
      <x:c r="J329" s="36"/>
      <x:c r="K329" s="36"/>
      <x:c r="L329" s="44"/>
      <x:c r="M329" s="36" t="str">
        <x:v>MYR</x:v>
      </x:c>
      <x:c r="N329" s="36"/>
      <x:c r="O329" s="36"/>
      <x:c r="P329" s="40"/>
      <x:c r="Q329" s="36" t="str">
        <x:f>IF(P329="","",P329-TODAY())</x:f>
      </x:c>
      <x:c r="R329" s="36" t="str">
        <x:f>IF(E329="","",IF(X329="DUPLICATE","STOP — DUPLICATE",IF(OR(N329="Completed",N329="Cancelled",N329="Rejected",N329="Superseded"),"Closed",IF(P329="","No due date",IF(Q329&lt;0,"OVERDUE",IF(Q329&lt;=7,"DUE SOON","Open"))))))</x:f>
      </x:c>
      <x:c r="S329" s="36"/>
      <x:c r="T329" s="36"/>
      <x:c r="U329" s="36"/>
      <x:c r="V329" s="42"/>
      <x:c r="W329" s="36"/>
      <x:c r="X329" s="36" t="str">
        <x:f>IF(E329="","",IF(COUNTIF($E$7:$E$506,E329)&gt;1,"DUPLICATE","OK"))</x:f>
      </x:c>
    </x:row>
    <x:row r="330">
      <x:c r="A330" s="36" t="str">
        <x:v>NEX</x:v>
      </x:c>
      <x:c r="B330" s="36"/>
      <x:c r="C330" s="38"/>
      <x:c r="D330" s="38"/>
      <x:c r="E330" s="36" t="str">
        <x:f>IF(OR(A330="",B330="",C330="",D330=""),"",A330&amp;"-"&amp;B330&amp;"-"&amp;TEXT(C330,"0000")&amp;"-"&amp;TEXT(D330,"0000"))</x:f>
      </x:c>
      <x:c r="F330" s="36" t="str">
        <x:v>R0</x:v>
      </x:c>
      <x:c r="G330" s="40"/>
      <x:c r="H330" s="40"/>
      <x:c r="I330" s="36"/>
      <x:c r="J330" s="36"/>
      <x:c r="K330" s="36"/>
      <x:c r="L330" s="44"/>
      <x:c r="M330" s="36" t="str">
        <x:v>MYR</x:v>
      </x:c>
      <x:c r="N330" s="36"/>
      <x:c r="O330" s="36"/>
      <x:c r="P330" s="40"/>
      <x:c r="Q330" s="36" t="str">
        <x:f>IF(P330="","",P330-TODAY())</x:f>
      </x:c>
      <x:c r="R330" s="36" t="str">
        <x:f>IF(E330="","",IF(X330="DUPLICATE","STOP — DUPLICATE",IF(OR(N330="Completed",N330="Cancelled",N330="Rejected",N330="Superseded"),"Closed",IF(P330="","No due date",IF(Q330&lt;0,"OVERDUE",IF(Q330&lt;=7,"DUE SOON","Open"))))))</x:f>
      </x:c>
      <x:c r="S330" s="36"/>
      <x:c r="T330" s="36"/>
      <x:c r="U330" s="36"/>
      <x:c r="V330" s="42"/>
      <x:c r="W330" s="36"/>
      <x:c r="X330" s="36" t="str">
        <x:f>IF(E330="","",IF(COUNTIF($E$7:$E$506,E330)&gt;1,"DUPLICATE","OK"))</x:f>
      </x:c>
    </x:row>
    <x:row r="331">
      <x:c r="A331" s="36" t="str">
        <x:v>NEX</x:v>
      </x:c>
      <x:c r="B331" s="36"/>
      <x:c r="C331" s="38"/>
      <x:c r="D331" s="38"/>
      <x:c r="E331" s="36" t="str">
        <x:f>IF(OR(A331="",B331="",C331="",D331=""),"",A331&amp;"-"&amp;B331&amp;"-"&amp;TEXT(C331,"0000")&amp;"-"&amp;TEXT(D331,"0000"))</x:f>
      </x:c>
      <x:c r="F331" s="36" t="str">
        <x:v>R0</x:v>
      </x:c>
      <x:c r="G331" s="40"/>
      <x:c r="H331" s="40"/>
      <x:c r="I331" s="36"/>
      <x:c r="J331" s="36"/>
      <x:c r="K331" s="36"/>
      <x:c r="L331" s="44"/>
      <x:c r="M331" s="36" t="str">
        <x:v>MYR</x:v>
      </x:c>
      <x:c r="N331" s="36"/>
      <x:c r="O331" s="36"/>
      <x:c r="P331" s="40"/>
      <x:c r="Q331" s="36" t="str">
        <x:f>IF(P331="","",P331-TODAY())</x:f>
      </x:c>
      <x:c r="R331" s="36" t="str">
        <x:f>IF(E331="","",IF(X331="DUPLICATE","STOP — DUPLICATE",IF(OR(N331="Completed",N331="Cancelled",N331="Rejected",N331="Superseded"),"Closed",IF(P331="","No due date",IF(Q331&lt;0,"OVERDUE",IF(Q331&lt;=7,"DUE SOON","Open"))))))</x:f>
      </x:c>
      <x:c r="S331" s="36"/>
      <x:c r="T331" s="36"/>
      <x:c r="U331" s="36"/>
      <x:c r="V331" s="42"/>
      <x:c r="W331" s="36"/>
      <x:c r="X331" s="36" t="str">
        <x:f>IF(E331="","",IF(COUNTIF($E$7:$E$506,E331)&gt;1,"DUPLICATE","OK"))</x:f>
      </x:c>
    </x:row>
    <x:row r="332">
      <x:c r="A332" s="36" t="str">
        <x:v>NEX</x:v>
      </x:c>
      <x:c r="B332" s="36"/>
      <x:c r="C332" s="38"/>
      <x:c r="D332" s="38"/>
      <x:c r="E332" s="36" t="str">
        <x:f>IF(OR(A332="",B332="",C332="",D332=""),"",A332&amp;"-"&amp;B332&amp;"-"&amp;TEXT(C332,"0000")&amp;"-"&amp;TEXT(D332,"0000"))</x:f>
      </x:c>
      <x:c r="F332" s="36" t="str">
        <x:v>R0</x:v>
      </x:c>
      <x:c r="G332" s="40"/>
      <x:c r="H332" s="40"/>
      <x:c r="I332" s="36"/>
      <x:c r="J332" s="36"/>
      <x:c r="K332" s="36"/>
      <x:c r="L332" s="44"/>
      <x:c r="M332" s="36" t="str">
        <x:v>MYR</x:v>
      </x:c>
      <x:c r="N332" s="36"/>
      <x:c r="O332" s="36"/>
      <x:c r="P332" s="40"/>
      <x:c r="Q332" s="36" t="str">
        <x:f>IF(P332="","",P332-TODAY())</x:f>
      </x:c>
      <x:c r="R332" s="36" t="str">
        <x:f>IF(E332="","",IF(X332="DUPLICATE","STOP — DUPLICATE",IF(OR(N332="Completed",N332="Cancelled",N332="Rejected",N332="Superseded"),"Closed",IF(P332="","No due date",IF(Q332&lt;0,"OVERDUE",IF(Q332&lt;=7,"DUE SOON","Open"))))))</x:f>
      </x:c>
      <x:c r="S332" s="36"/>
      <x:c r="T332" s="36"/>
      <x:c r="U332" s="36"/>
      <x:c r="V332" s="42"/>
      <x:c r="W332" s="36"/>
      <x:c r="X332" s="36" t="str">
        <x:f>IF(E332="","",IF(COUNTIF($E$7:$E$506,E332)&gt;1,"DUPLICATE","OK"))</x:f>
      </x:c>
    </x:row>
    <x:row r="333">
      <x:c r="A333" s="36" t="str">
        <x:v>NEX</x:v>
      </x:c>
      <x:c r="B333" s="36"/>
      <x:c r="C333" s="38"/>
      <x:c r="D333" s="38"/>
      <x:c r="E333" s="36" t="str">
        <x:f>IF(OR(A333="",B333="",C333="",D333=""),"",A333&amp;"-"&amp;B333&amp;"-"&amp;TEXT(C333,"0000")&amp;"-"&amp;TEXT(D333,"0000"))</x:f>
      </x:c>
      <x:c r="F333" s="36" t="str">
        <x:v>R0</x:v>
      </x:c>
      <x:c r="G333" s="40"/>
      <x:c r="H333" s="40"/>
      <x:c r="I333" s="36"/>
      <x:c r="J333" s="36"/>
      <x:c r="K333" s="36"/>
      <x:c r="L333" s="44"/>
      <x:c r="M333" s="36" t="str">
        <x:v>MYR</x:v>
      </x:c>
      <x:c r="N333" s="36"/>
      <x:c r="O333" s="36"/>
      <x:c r="P333" s="40"/>
      <x:c r="Q333" s="36" t="str">
        <x:f>IF(P333="","",P333-TODAY())</x:f>
      </x:c>
      <x:c r="R333" s="36" t="str">
        <x:f>IF(E333="","",IF(X333="DUPLICATE","STOP — DUPLICATE",IF(OR(N333="Completed",N333="Cancelled",N333="Rejected",N333="Superseded"),"Closed",IF(P333="","No due date",IF(Q333&lt;0,"OVERDUE",IF(Q333&lt;=7,"DUE SOON","Open"))))))</x:f>
      </x:c>
      <x:c r="S333" s="36"/>
      <x:c r="T333" s="36"/>
      <x:c r="U333" s="36"/>
      <x:c r="V333" s="42"/>
      <x:c r="W333" s="36"/>
      <x:c r="X333" s="36" t="str">
        <x:f>IF(E333="","",IF(COUNTIF($E$7:$E$506,E333)&gt;1,"DUPLICATE","OK"))</x:f>
      </x:c>
    </x:row>
    <x:row r="334">
      <x:c r="A334" s="36" t="str">
        <x:v>NEX</x:v>
      </x:c>
      <x:c r="B334" s="36"/>
      <x:c r="C334" s="38"/>
      <x:c r="D334" s="38"/>
      <x:c r="E334" s="36" t="str">
        <x:f>IF(OR(A334="",B334="",C334="",D334=""),"",A334&amp;"-"&amp;B334&amp;"-"&amp;TEXT(C334,"0000")&amp;"-"&amp;TEXT(D334,"0000"))</x:f>
      </x:c>
      <x:c r="F334" s="36" t="str">
        <x:v>R0</x:v>
      </x:c>
      <x:c r="G334" s="40"/>
      <x:c r="H334" s="40"/>
      <x:c r="I334" s="36"/>
      <x:c r="J334" s="36"/>
      <x:c r="K334" s="36"/>
      <x:c r="L334" s="44"/>
      <x:c r="M334" s="36" t="str">
        <x:v>MYR</x:v>
      </x:c>
      <x:c r="N334" s="36"/>
      <x:c r="O334" s="36"/>
      <x:c r="P334" s="40"/>
      <x:c r="Q334" s="36" t="str">
        <x:f>IF(P334="","",P334-TODAY())</x:f>
      </x:c>
      <x:c r="R334" s="36" t="str">
        <x:f>IF(E334="","",IF(X334="DUPLICATE","STOP — DUPLICATE",IF(OR(N334="Completed",N334="Cancelled",N334="Rejected",N334="Superseded"),"Closed",IF(P334="","No due date",IF(Q334&lt;0,"OVERDUE",IF(Q334&lt;=7,"DUE SOON","Open"))))))</x:f>
      </x:c>
      <x:c r="S334" s="36"/>
      <x:c r="T334" s="36"/>
      <x:c r="U334" s="36"/>
      <x:c r="V334" s="42"/>
      <x:c r="W334" s="36"/>
      <x:c r="X334" s="36" t="str">
        <x:f>IF(E334="","",IF(COUNTIF($E$7:$E$506,E334)&gt;1,"DUPLICATE","OK"))</x:f>
      </x:c>
    </x:row>
    <x:row r="335">
      <x:c r="A335" s="36" t="str">
        <x:v>NEX</x:v>
      </x:c>
      <x:c r="B335" s="36"/>
      <x:c r="C335" s="38"/>
      <x:c r="D335" s="38"/>
      <x:c r="E335" s="36" t="str">
        <x:f>IF(OR(A335="",B335="",C335="",D335=""),"",A335&amp;"-"&amp;B335&amp;"-"&amp;TEXT(C335,"0000")&amp;"-"&amp;TEXT(D335,"0000"))</x:f>
      </x:c>
      <x:c r="F335" s="36" t="str">
        <x:v>R0</x:v>
      </x:c>
      <x:c r="G335" s="40"/>
      <x:c r="H335" s="40"/>
      <x:c r="I335" s="36"/>
      <x:c r="J335" s="36"/>
      <x:c r="K335" s="36"/>
      <x:c r="L335" s="44"/>
      <x:c r="M335" s="36" t="str">
        <x:v>MYR</x:v>
      </x:c>
      <x:c r="N335" s="36"/>
      <x:c r="O335" s="36"/>
      <x:c r="P335" s="40"/>
      <x:c r="Q335" s="36" t="str">
        <x:f>IF(P335="","",P335-TODAY())</x:f>
      </x:c>
      <x:c r="R335" s="36" t="str">
        <x:f>IF(E335="","",IF(X335="DUPLICATE","STOP — DUPLICATE",IF(OR(N335="Completed",N335="Cancelled",N335="Rejected",N335="Superseded"),"Closed",IF(P335="","No due date",IF(Q335&lt;0,"OVERDUE",IF(Q335&lt;=7,"DUE SOON","Open"))))))</x:f>
      </x:c>
      <x:c r="S335" s="36"/>
      <x:c r="T335" s="36"/>
      <x:c r="U335" s="36"/>
      <x:c r="V335" s="42"/>
      <x:c r="W335" s="36"/>
      <x:c r="X335" s="36" t="str">
        <x:f>IF(E335="","",IF(COUNTIF($E$7:$E$506,E335)&gt;1,"DUPLICATE","OK"))</x:f>
      </x:c>
    </x:row>
    <x:row r="336">
      <x:c r="A336" s="36" t="str">
        <x:v>NEX</x:v>
      </x:c>
      <x:c r="B336" s="36"/>
      <x:c r="C336" s="38"/>
      <x:c r="D336" s="38"/>
      <x:c r="E336" s="36" t="str">
        <x:f>IF(OR(A336="",B336="",C336="",D336=""),"",A336&amp;"-"&amp;B336&amp;"-"&amp;TEXT(C336,"0000")&amp;"-"&amp;TEXT(D336,"0000"))</x:f>
      </x:c>
      <x:c r="F336" s="36" t="str">
        <x:v>R0</x:v>
      </x:c>
      <x:c r="G336" s="40"/>
      <x:c r="H336" s="40"/>
      <x:c r="I336" s="36"/>
      <x:c r="J336" s="36"/>
      <x:c r="K336" s="36"/>
      <x:c r="L336" s="44"/>
      <x:c r="M336" s="36" t="str">
        <x:v>MYR</x:v>
      </x:c>
      <x:c r="N336" s="36"/>
      <x:c r="O336" s="36"/>
      <x:c r="P336" s="40"/>
      <x:c r="Q336" s="36" t="str">
        <x:f>IF(P336="","",P336-TODAY())</x:f>
      </x:c>
      <x:c r="R336" s="36" t="str">
        <x:f>IF(E336="","",IF(X336="DUPLICATE","STOP — DUPLICATE",IF(OR(N336="Completed",N336="Cancelled",N336="Rejected",N336="Superseded"),"Closed",IF(P336="","No due date",IF(Q336&lt;0,"OVERDUE",IF(Q336&lt;=7,"DUE SOON","Open"))))))</x:f>
      </x:c>
      <x:c r="S336" s="36"/>
      <x:c r="T336" s="36"/>
      <x:c r="U336" s="36"/>
      <x:c r="V336" s="42"/>
      <x:c r="W336" s="36"/>
      <x:c r="X336" s="36" t="str">
        <x:f>IF(E336="","",IF(COUNTIF($E$7:$E$506,E336)&gt;1,"DUPLICATE","OK"))</x:f>
      </x:c>
    </x:row>
    <x:row r="337">
      <x:c r="A337" s="36" t="str">
        <x:v>NEX</x:v>
      </x:c>
      <x:c r="B337" s="36"/>
      <x:c r="C337" s="38"/>
      <x:c r="D337" s="38"/>
      <x:c r="E337" s="36" t="str">
        <x:f>IF(OR(A337="",B337="",C337="",D337=""),"",A337&amp;"-"&amp;B337&amp;"-"&amp;TEXT(C337,"0000")&amp;"-"&amp;TEXT(D337,"0000"))</x:f>
      </x:c>
      <x:c r="F337" s="36" t="str">
        <x:v>R0</x:v>
      </x:c>
      <x:c r="G337" s="40"/>
      <x:c r="H337" s="40"/>
      <x:c r="I337" s="36"/>
      <x:c r="J337" s="36"/>
      <x:c r="K337" s="36"/>
      <x:c r="L337" s="44"/>
      <x:c r="M337" s="36" t="str">
        <x:v>MYR</x:v>
      </x:c>
      <x:c r="N337" s="36"/>
      <x:c r="O337" s="36"/>
      <x:c r="P337" s="40"/>
      <x:c r="Q337" s="36" t="str">
        <x:f>IF(P337="","",P337-TODAY())</x:f>
      </x:c>
      <x:c r="R337" s="36" t="str">
        <x:f>IF(E337="","",IF(X337="DUPLICATE","STOP — DUPLICATE",IF(OR(N337="Completed",N337="Cancelled",N337="Rejected",N337="Superseded"),"Closed",IF(P337="","No due date",IF(Q337&lt;0,"OVERDUE",IF(Q337&lt;=7,"DUE SOON","Open"))))))</x:f>
      </x:c>
      <x:c r="S337" s="36"/>
      <x:c r="T337" s="36"/>
      <x:c r="U337" s="36"/>
      <x:c r="V337" s="42"/>
      <x:c r="W337" s="36"/>
      <x:c r="X337" s="36" t="str">
        <x:f>IF(E337="","",IF(COUNTIF($E$7:$E$506,E337)&gt;1,"DUPLICATE","OK"))</x:f>
      </x:c>
    </x:row>
    <x:row r="338">
      <x:c r="A338" s="36" t="str">
        <x:v>NEX</x:v>
      </x:c>
      <x:c r="B338" s="36"/>
      <x:c r="C338" s="38"/>
      <x:c r="D338" s="38"/>
      <x:c r="E338" s="36" t="str">
        <x:f>IF(OR(A338="",B338="",C338="",D338=""),"",A338&amp;"-"&amp;B338&amp;"-"&amp;TEXT(C338,"0000")&amp;"-"&amp;TEXT(D338,"0000"))</x:f>
      </x:c>
      <x:c r="F338" s="36" t="str">
        <x:v>R0</x:v>
      </x:c>
      <x:c r="G338" s="40"/>
      <x:c r="H338" s="40"/>
      <x:c r="I338" s="36"/>
      <x:c r="J338" s="36"/>
      <x:c r="K338" s="36"/>
      <x:c r="L338" s="44"/>
      <x:c r="M338" s="36" t="str">
        <x:v>MYR</x:v>
      </x:c>
      <x:c r="N338" s="36"/>
      <x:c r="O338" s="36"/>
      <x:c r="P338" s="40"/>
      <x:c r="Q338" s="36" t="str">
        <x:f>IF(P338="","",P338-TODAY())</x:f>
      </x:c>
      <x:c r="R338" s="36" t="str">
        <x:f>IF(E338="","",IF(X338="DUPLICATE","STOP — DUPLICATE",IF(OR(N338="Completed",N338="Cancelled",N338="Rejected",N338="Superseded"),"Closed",IF(P338="","No due date",IF(Q338&lt;0,"OVERDUE",IF(Q338&lt;=7,"DUE SOON","Open"))))))</x:f>
      </x:c>
      <x:c r="S338" s="36"/>
      <x:c r="T338" s="36"/>
      <x:c r="U338" s="36"/>
      <x:c r="V338" s="42"/>
      <x:c r="W338" s="36"/>
      <x:c r="X338" s="36" t="str">
        <x:f>IF(E338="","",IF(COUNTIF($E$7:$E$506,E338)&gt;1,"DUPLICATE","OK"))</x:f>
      </x:c>
    </x:row>
    <x:row r="339">
      <x:c r="A339" s="36" t="str">
        <x:v>NEX</x:v>
      </x:c>
      <x:c r="B339" s="36"/>
      <x:c r="C339" s="38"/>
      <x:c r="D339" s="38"/>
      <x:c r="E339" s="36" t="str">
        <x:f>IF(OR(A339="",B339="",C339="",D339=""),"",A339&amp;"-"&amp;B339&amp;"-"&amp;TEXT(C339,"0000")&amp;"-"&amp;TEXT(D339,"0000"))</x:f>
      </x:c>
      <x:c r="F339" s="36" t="str">
        <x:v>R0</x:v>
      </x:c>
      <x:c r="G339" s="40"/>
      <x:c r="H339" s="40"/>
      <x:c r="I339" s="36"/>
      <x:c r="J339" s="36"/>
      <x:c r="K339" s="36"/>
      <x:c r="L339" s="44"/>
      <x:c r="M339" s="36" t="str">
        <x:v>MYR</x:v>
      </x:c>
      <x:c r="N339" s="36"/>
      <x:c r="O339" s="36"/>
      <x:c r="P339" s="40"/>
      <x:c r="Q339" s="36" t="str">
        <x:f>IF(P339="","",P339-TODAY())</x:f>
      </x:c>
      <x:c r="R339" s="36" t="str">
        <x:f>IF(E339="","",IF(X339="DUPLICATE","STOP — DUPLICATE",IF(OR(N339="Completed",N339="Cancelled",N339="Rejected",N339="Superseded"),"Closed",IF(P339="","No due date",IF(Q339&lt;0,"OVERDUE",IF(Q339&lt;=7,"DUE SOON","Open"))))))</x:f>
      </x:c>
      <x:c r="S339" s="36"/>
      <x:c r="T339" s="36"/>
      <x:c r="U339" s="36"/>
      <x:c r="V339" s="42"/>
      <x:c r="W339" s="36"/>
      <x:c r="X339" s="36" t="str">
        <x:f>IF(E339="","",IF(COUNTIF($E$7:$E$506,E339)&gt;1,"DUPLICATE","OK"))</x:f>
      </x:c>
    </x:row>
    <x:row r="340">
      <x:c r="A340" s="36" t="str">
        <x:v>NEX</x:v>
      </x:c>
      <x:c r="B340" s="36"/>
      <x:c r="C340" s="38"/>
      <x:c r="D340" s="38"/>
      <x:c r="E340" s="36" t="str">
        <x:f>IF(OR(A340="",B340="",C340="",D340=""),"",A340&amp;"-"&amp;B340&amp;"-"&amp;TEXT(C340,"0000")&amp;"-"&amp;TEXT(D340,"0000"))</x:f>
      </x:c>
      <x:c r="F340" s="36" t="str">
        <x:v>R0</x:v>
      </x:c>
      <x:c r="G340" s="40"/>
      <x:c r="H340" s="40"/>
      <x:c r="I340" s="36"/>
      <x:c r="J340" s="36"/>
      <x:c r="K340" s="36"/>
      <x:c r="L340" s="44"/>
      <x:c r="M340" s="36" t="str">
        <x:v>MYR</x:v>
      </x:c>
      <x:c r="N340" s="36"/>
      <x:c r="O340" s="36"/>
      <x:c r="P340" s="40"/>
      <x:c r="Q340" s="36" t="str">
        <x:f>IF(P340="","",P340-TODAY())</x:f>
      </x:c>
      <x:c r="R340" s="36" t="str">
        <x:f>IF(E340="","",IF(X340="DUPLICATE","STOP — DUPLICATE",IF(OR(N340="Completed",N340="Cancelled",N340="Rejected",N340="Superseded"),"Closed",IF(P340="","No due date",IF(Q340&lt;0,"OVERDUE",IF(Q340&lt;=7,"DUE SOON","Open"))))))</x:f>
      </x:c>
      <x:c r="S340" s="36"/>
      <x:c r="T340" s="36"/>
      <x:c r="U340" s="36"/>
      <x:c r="V340" s="42"/>
      <x:c r="W340" s="36"/>
      <x:c r="X340" s="36" t="str">
        <x:f>IF(E340="","",IF(COUNTIF($E$7:$E$506,E340)&gt;1,"DUPLICATE","OK"))</x:f>
      </x:c>
    </x:row>
    <x:row r="341">
      <x:c r="A341" s="36" t="str">
        <x:v>NEX</x:v>
      </x:c>
      <x:c r="B341" s="36"/>
      <x:c r="C341" s="38"/>
      <x:c r="D341" s="38"/>
      <x:c r="E341" s="36" t="str">
        <x:f>IF(OR(A341="",B341="",C341="",D341=""),"",A341&amp;"-"&amp;B341&amp;"-"&amp;TEXT(C341,"0000")&amp;"-"&amp;TEXT(D341,"0000"))</x:f>
      </x:c>
      <x:c r="F341" s="36" t="str">
        <x:v>R0</x:v>
      </x:c>
      <x:c r="G341" s="40"/>
      <x:c r="H341" s="40"/>
      <x:c r="I341" s="36"/>
      <x:c r="J341" s="36"/>
      <x:c r="K341" s="36"/>
      <x:c r="L341" s="44"/>
      <x:c r="M341" s="36" t="str">
        <x:v>MYR</x:v>
      </x:c>
      <x:c r="N341" s="36"/>
      <x:c r="O341" s="36"/>
      <x:c r="P341" s="40"/>
      <x:c r="Q341" s="36" t="str">
        <x:f>IF(P341="","",P341-TODAY())</x:f>
      </x:c>
      <x:c r="R341" s="36" t="str">
        <x:f>IF(E341="","",IF(X341="DUPLICATE","STOP — DUPLICATE",IF(OR(N341="Completed",N341="Cancelled",N341="Rejected",N341="Superseded"),"Closed",IF(P341="","No due date",IF(Q341&lt;0,"OVERDUE",IF(Q341&lt;=7,"DUE SOON","Open"))))))</x:f>
      </x:c>
      <x:c r="S341" s="36"/>
      <x:c r="T341" s="36"/>
      <x:c r="U341" s="36"/>
      <x:c r="V341" s="42"/>
      <x:c r="W341" s="36"/>
      <x:c r="X341" s="36" t="str">
        <x:f>IF(E341="","",IF(COUNTIF($E$7:$E$506,E341)&gt;1,"DUPLICATE","OK"))</x:f>
      </x:c>
    </x:row>
    <x:row r="342">
      <x:c r="A342" s="36" t="str">
        <x:v>NEX</x:v>
      </x:c>
      <x:c r="B342" s="36"/>
      <x:c r="C342" s="38"/>
      <x:c r="D342" s="38"/>
      <x:c r="E342" s="36" t="str">
        <x:f>IF(OR(A342="",B342="",C342="",D342=""),"",A342&amp;"-"&amp;B342&amp;"-"&amp;TEXT(C342,"0000")&amp;"-"&amp;TEXT(D342,"0000"))</x:f>
      </x:c>
      <x:c r="F342" s="36" t="str">
        <x:v>R0</x:v>
      </x:c>
      <x:c r="G342" s="40"/>
      <x:c r="H342" s="40"/>
      <x:c r="I342" s="36"/>
      <x:c r="J342" s="36"/>
      <x:c r="K342" s="36"/>
      <x:c r="L342" s="44"/>
      <x:c r="M342" s="36" t="str">
        <x:v>MYR</x:v>
      </x:c>
      <x:c r="N342" s="36"/>
      <x:c r="O342" s="36"/>
      <x:c r="P342" s="40"/>
      <x:c r="Q342" s="36" t="str">
        <x:f>IF(P342="","",P342-TODAY())</x:f>
      </x:c>
      <x:c r="R342" s="36" t="str">
        <x:f>IF(E342="","",IF(X342="DUPLICATE","STOP — DUPLICATE",IF(OR(N342="Completed",N342="Cancelled",N342="Rejected",N342="Superseded"),"Closed",IF(P342="","No due date",IF(Q342&lt;0,"OVERDUE",IF(Q342&lt;=7,"DUE SOON","Open"))))))</x:f>
      </x:c>
      <x:c r="S342" s="36"/>
      <x:c r="T342" s="36"/>
      <x:c r="U342" s="36"/>
      <x:c r="V342" s="42"/>
      <x:c r="W342" s="36"/>
      <x:c r="X342" s="36" t="str">
        <x:f>IF(E342="","",IF(COUNTIF($E$7:$E$506,E342)&gt;1,"DUPLICATE","OK"))</x:f>
      </x:c>
    </x:row>
    <x:row r="343">
      <x:c r="A343" s="36" t="str">
        <x:v>NEX</x:v>
      </x:c>
      <x:c r="B343" s="36"/>
      <x:c r="C343" s="38"/>
      <x:c r="D343" s="38"/>
      <x:c r="E343" s="36" t="str">
        <x:f>IF(OR(A343="",B343="",C343="",D343=""),"",A343&amp;"-"&amp;B343&amp;"-"&amp;TEXT(C343,"0000")&amp;"-"&amp;TEXT(D343,"0000"))</x:f>
      </x:c>
      <x:c r="F343" s="36" t="str">
        <x:v>R0</x:v>
      </x:c>
      <x:c r="G343" s="40"/>
      <x:c r="H343" s="40"/>
      <x:c r="I343" s="36"/>
      <x:c r="J343" s="36"/>
      <x:c r="K343" s="36"/>
      <x:c r="L343" s="44"/>
      <x:c r="M343" s="36" t="str">
        <x:v>MYR</x:v>
      </x:c>
      <x:c r="N343" s="36"/>
      <x:c r="O343" s="36"/>
      <x:c r="P343" s="40"/>
      <x:c r="Q343" s="36" t="str">
        <x:f>IF(P343="","",P343-TODAY())</x:f>
      </x:c>
      <x:c r="R343" s="36" t="str">
        <x:f>IF(E343="","",IF(X343="DUPLICATE","STOP — DUPLICATE",IF(OR(N343="Completed",N343="Cancelled",N343="Rejected",N343="Superseded"),"Closed",IF(P343="","No due date",IF(Q343&lt;0,"OVERDUE",IF(Q343&lt;=7,"DUE SOON","Open"))))))</x:f>
      </x:c>
      <x:c r="S343" s="36"/>
      <x:c r="T343" s="36"/>
      <x:c r="U343" s="36"/>
      <x:c r="V343" s="42"/>
      <x:c r="W343" s="36"/>
      <x:c r="X343" s="36" t="str">
        <x:f>IF(E343="","",IF(COUNTIF($E$7:$E$506,E343)&gt;1,"DUPLICATE","OK"))</x:f>
      </x:c>
    </x:row>
    <x:row r="344">
      <x:c r="A344" s="36" t="str">
        <x:v>NEX</x:v>
      </x:c>
      <x:c r="B344" s="36"/>
      <x:c r="C344" s="38"/>
      <x:c r="D344" s="38"/>
      <x:c r="E344" s="36" t="str">
        <x:f>IF(OR(A344="",B344="",C344="",D344=""),"",A344&amp;"-"&amp;B344&amp;"-"&amp;TEXT(C344,"0000")&amp;"-"&amp;TEXT(D344,"0000"))</x:f>
      </x:c>
      <x:c r="F344" s="36" t="str">
        <x:v>R0</x:v>
      </x:c>
      <x:c r="G344" s="40"/>
      <x:c r="H344" s="40"/>
      <x:c r="I344" s="36"/>
      <x:c r="J344" s="36"/>
      <x:c r="K344" s="36"/>
      <x:c r="L344" s="44"/>
      <x:c r="M344" s="36" t="str">
        <x:v>MYR</x:v>
      </x:c>
      <x:c r="N344" s="36"/>
      <x:c r="O344" s="36"/>
      <x:c r="P344" s="40"/>
      <x:c r="Q344" s="36" t="str">
        <x:f>IF(P344="","",P344-TODAY())</x:f>
      </x:c>
      <x:c r="R344" s="36" t="str">
        <x:f>IF(E344="","",IF(X344="DUPLICATE","STOP — DUPLICATE",IF(OR(N344="Completed",N344="Cancelled",N344="Rejected",N344="Superseded"),"Closed",IF(P344="","No due date",IF(Q344&lt;0,"OVERDUE",IF(Q344&lt;=7,"DUE SOON","Open"))))))</x:f>
      </x:c>
      <x:c r="S344" s="36"/>
      <x:c r="T344" s="36"/>
      <x:c r="U344" s="36"/>
      <x:c r="V344" s="42"/>
      <x:c r="W344" s="36"/>
      <x:c r="X344" s="36" t="str">
        <x:f>IF(E344="","",IF(COUNTIF($E$7:$E$506,E344)&gt;1,"DUPLICATE","OK"))</x:f>
      </x:c>
    </x:row>
    <x:row r="345">
      <x:c r="A345" s="36" t="str">
        <x:v>NEX</x:v>
      </x:c>
      <x:c r="B345" s="36"/>
      <x:c r="C345" s="38"/>
      <x:c r="D345" s="38"/>
      <x:c r="E345" s="36" t="str">
        <x:f>IF(OR(A345="",B345="",C345="",D345=""),"",A345&amp;"-"&amp;B345&amp;"-"&amp;TEXT(C345,"0000")&amp;"-"&amp;TEXT(D345,"0000"))</x:f>
      </x:c>
      <x:c r="F345" s="36" t="str">
        <x:v>R0</x:v>
      </x:c>
      <x:c r="G345" s="40"/>
      <x:c r="H345" s="40"/>
      <x:c r="I345" s="36"/>
      <x:c r="J345" s="36"/>
      <x:c r="K345" s="36"/>
      <x:c r="L345" s="44"/>
      <x:c r="M345" s="36" t="str">
        <x:v>MYR</x:v>
      </x:c>
      <x:c r="N345" s="36"/>
      <x:c r="O345" s="36"/>
      <x:c r="P345" s="40"/>
      <x:c r="Q345" s="36" t="str">
        <x:f>IF(P345="","",P345-TODAY())</x:f>
      </x:c>
      <x:c r="R345" s="36" t="str">
        <x:f>IF(E345="","",IF(X345="DUPLICATE","STOP — DUPLICATE",IF(OR(N345="Completed",N345="Cancelled",N345="Rejected",N345="Superseded"),"Closed",IF(P345="","No due date",IF(Q345&lt;0,"OVERDUE",IF(Q345&lt;=7,"DUE SOON","Open"))))))</x:f>
      </x:c>
      <x:c r="S345" s="36"/>
      <x:c r="T345" s="36"/>
      <x:c r="U345" s="36"/>
      <x:c r="V345" s="42"/>
      <x:c r="W345" s="36"/>
      <x:c r="X345" s="36" t="str">
        <x:f>IF(E345="","",IF(COUNTIF($E$7:$E$506,E345)&gt;1,"DUPLICATE","OK"))</x:f>
      </x:c>
    </x:row>
    <x:row r="346">
      <x:c r="A346" s="36" t="str">
        <x:v>NEX</x:v>
      </x:c>
      <x:c r="B346" s="36"/>
      <x:c r="C346" s="38"/>
      <x:c r="D346" s="38"/>
      <x:c r="E346" s="36" t="str">
        <x:f>IF(OR(A346="",B346="",C346="",D346=""),"",A346&amp;"-"&amp;B346&amp;"-"&amp;TEXT(C346,"0000")&amp;"-"&amp;TEXT(D346,"0000"))</x:f>
      </x:c>
      <x:c r="F346" s="36" t="str">
        <x:v>R0</x:v>
      </x:c>
      <x:c r="G346" s="40"/>
      <x:c r="H346" s="40"/>
      <x:c r="I346" s="36"/>
      <x:c r="J346" s="36"/>
      <x:c r="K346" s="36"/>
      <x:c r="L346" s="44"/>
      <x:c r="M346" s="36" t="str">
        <x:v>MYR</x:v>
      </x:c>
      <x:c r="N346" s="36"/>
      <x:c r="O346" s="36"/>
      <x:c r="P346" s="40"/>
      <x:c r="Q346" s="36" t="str">
        <x:f>IF(P346="","",P346-TODAY())</x:f>
      </x:c>
      <x:c r="R346" s="36" t="str">
        <x:f>IF(E346="","",IF(X346="DUPLICATE","STOP — DUPLICATE",IF(OR(N346="Completed",N346="Cancelled",N346="Rejected",N346="Superseded"),"Closed",IF(P346="","No due date",IF(Q346&lt;0,"OVERDUE",IF(Q346&lt;=7,"DUE SOON","Open"))))))</x:f>
      </x:c>
      <x:c r="S346" s="36"/>
      <x:c r="T346" s="36"/>
      <x:c r="U346" s="36"/>
      <x:c r="V346" s="42"/>
      <x:c r="W346" s="36"/>
      <x:c r="X346" s="36" t="str">
        <x:f>IF(E346="","",IF(COUNTIF($E$7:$E$506,E346)&gt;1,"DUPLICATE","OK"))</x:f>
      </x:c>
    </x:row>
    <x:row r="347">
      <x:c r="A347" s="36" t="str">
        <x:v>NEX</x:v>
      </x:c>
      <x:c r="B347" s="36"/>
      <x:c r="C347" s="38"/>
      <x:c r="D347" s="38"/>
      <x:c r="E347" s="36" t="str">
        <x:f>IF(OR(A347="",B347="",C347="",D347=""),"",A347&amp;"-"&amp;B347&amp;"-"&amp;TEXT(C347,"0000")&amp;"-"&amp;TEXT(D347,"0000"))</x:f>
      </x:c>
      <x:c r="F347" s="36" t="str">
        <x:v>R0</x:v>
      </x:c>
      <x:c r="G347" s="40"/>
      <x:c r="H347" s="40"/>
      <x:c r="I347" s="36"/>
      <x:c r="J347" s="36"/>
      <x:c r="K347" s="36"/>
      <x:c r="L347" s="44"/>
      <x:c r="M347" s="36" t="str">
        <x:v>MYR</x:v>
      </x:c>
      <x:c r="N347" s="36"/>
      <x:c r="O347" s="36"/>
      <x:c r="P347" s="40"/>
      <x:c r="Q347" s="36" t="str">
        <x:f>IF(P347="","",P347-TODAY())</x:f>
      </x:c>
      <x:c r="R347" s="36" t="str">
        <x:f>IF(E347="","",IF(X347="DUPLICATE","STOP — DUPLICATE",IF(OR(N347="Completed",N347="Cancelled",N347="Rejected",N347="Superseded"),"Closed",IF(P347="","No due date",IF(Q347&lt;0,"OVERDUE",IF(Q347&lt;=7,"DUE SOON","Open"))))))</x:f>
      </x:c>
      <x:c r="S347" s="36"/>
      <x:c r="T347" s="36"/>
      <x:c r="U347" s="36"/>
      <x:c r="V347" s="42"/>
      <x:c r="W347" s="36"/>
      <x:c r="X347" s="36" t="str">
        <x:f>IF(E347="","",IF(COUNTIF($E$7:$E$506,E347)&gt;1,"DUPLICATE","OK"))</x:f>
      </x:c>
    </x:row>
    <x:row r="348">
      <x:c r="A348" s="36" t="str">
        <x:v>NEX</x:v>
      </x:c>
      <x:c r="B348" s="36"/>
      <x:c r="C348" s="38"/>
      <x:c r="D348" s="38"/>
      <x:c r="E348" s="36" t="str">
        <x:f>IF(OR(A348="",B348="",C348="",D348=""),"",A348&amp;"-"&amp;B348&amp;"-"&amp;TEXT(C348,"0000")&amp;"-"&amp;TEXT(D348,"0000"))</x:f>
      </x:c>
      <x:c r="F348" s="36" t="str">
        <x:v>R0</x:v>
      </x:c>
      <x:c r="G348" s="40"/>
      <x:c r="H348" s="40"/>
      <x:c r="I348" s="36"/>
      <x:c r="J348" s="36"/>
      <x:c r="K348" s="36"/>
      <x:c r="L348" s="44"/>
      <x:c r="M348" s="36" t="str">
        <x:v>MYR</x:v>
      </x:c>
      <x:c r="N348" s="36"/>
      <x:c r="O348" s="36"/>
      <x:c r="P348" s="40"/>
      <x:c r="Q348" s="36" t="str">
        <x:f>IF(P348="","",P348-TODAY())</x:f>
      </x:c>
      <x:c r="R348" s="36" t="str">
        <x:f>IF(E348="","",IF(X348="DUPLICATE","STOP — DUPLICATE",IF(OR(N348="Completed",N348="Cancelled",N348="Rejected",N348="Superseded"),"Closed",IF(P348="","No due date",IF(Q348&lt;0,"OVERDUE",IF(Q348&lt;=7,"DUE SOON","Open"))))))</x:f>
      </x:c>
      <x:c r="S348" s="36"/>
      <x:c r="T348" s="36"/>
      <x:c r="U348" s="36"/>
      <x:c r="V348" s="42"/>
      <x:c r="W348" s="36"/>
      <x:c r="X348" s="36" t="str">
        <x:f>IF(E348="","",IF(COUNTIF($E$7:$E$506,E348)&gt;1,"DUPLICATE","OK"))</x:f>
      </x:c>
    </x:row>
    <x:row r="349">
      <x:c r="A349" s="36" t="str">
        <x:v>NEX</x:v>
      </x:c>
      <x:c r="B349" s="36"/>
      <x:c r="C349" s="38"/>
      <x:c r="D349" s="38"/>
      <x:c r="E349" s="36" t="str">
        <x:f>IF(OR(A349="",B349="",C349="",D349=""),"",A349&amp;"-"&amp;B349&amp;"-"&amp;TEXT(C349,"0000")&amp;"-"&amp;TEXT(D349,"0000"))</x:f>
      </x:c>
      <x:c r="F349" s="36" t="str">
        <x:v>R0</x:v>
      </x:c>
      <x:c r="G349" s="40"/>
      <x:c r="H349" s="40"/>
      <x:c r="I349" s="36"/>
      <x:c r="J349" s="36"/>
      <x:c r="K349" s="36"/>
      <x:c r="L349" s="44"/>
      <x:c r="M349" s="36" t="str">
        <x:v>MYR</x:v>
      </x:c>
      <x:c r="N349" s="36"/>
      <x:c r="O349" s="36"/>
      <x:c r="P349" s="40"/>
      <x:c r="Q349" s="36" t="str">
        <x:f>IF(P349="","",P349-TODAY())</x:f>
      </x:c>
      <x:c r="R349" s="36" t="str">
        <x:f>IF(E349="","",IF(X349="DUPLICATE","STOP — DUPLICATE",IF(OR(N349="Completed",N349="Cancelled",N349="Rejected",N349="Superseded"),"Closed",IF(P349="","No due date",IF(Q349&lt;0,"OVERDUE",IF(Q349&lt;=7,"DUE SOON","Open"))))))</x:f>
      </x:c>
      <x:c r="S349" s="36"/>
      <x:c r="T349" s="36"/>
      <x:c r="U349" s="36"/>
      <x:c r="V349" s="42"/>
      <x:c r="W349" s="36"/>
      <x:c r="X349" s="36" t="str">
        <x:f>IF(E349="","",IF(COUNTIF($E$7:$E$506,E349)&gt;1,"DUPLICATE","OK"))</x:f>
      </x:c>
    </x:row>
    <x:row r="350">
      <x:c r="A350" s="36" t="str">
        <x:v>NEX</x:v>
      </x:c>
      <x:c r="B350" s="36"/>
      <x:c r="C350" s="38"/>
      <x:c r="D350" s="38"/>
      <x:c r="E350" s="36" t="str">
        <x:f>IF(OR(A350="",B350="",C350="",D350=""),"",A350&amp;"-"&amp;B350&amp;"-"&amp;TEXT(C350,"0000")&amp;"-"&amp;TEXT(D350,"0000"))</x:f>
      </x:c>
      <x:c r="F350" s="36" t="str">
        <x:v>R0</x:v>
      </x:c>
      <x:c r="G350" s="40"/>
      <x:c r="H350" s="40"/>
      <x:c r="I350" s="36"/>
      <x:c r="J350" s="36"/>
      <x:c r="K350" s="36"/>
      <x:c r="L350" s="44"/>
      <x:c r="M350" s="36" t="str">
        <x:v>MYR</x:v>
      </x:c>
      <x:c r="N350" s="36"/>
      <x:c r="O350" s="36"/>
      <x:c r="P350" s="40"/>
      <x:c r="Q350" s="36" t="str">
        <x:f>IF(P350="","",P350-TODAY())</x:f>
      </x:c>
      <x:c r="R350" s="36" t="str">
        <x:f>IF(E350="","",IF(X350="DUPLICATE","STOP — DUPLICATE",IF(OR(N350="Completed",N350="Cancelled",N350="Rejected",N350="Superseded"),"Closed",IF(P350="","No due date",IF(Q350&lt;0,"OVERDUE",IF(Q350&lt;=7,"DUE SOON","Open"))))))</x:f>
      </x:c>
      <x:c r="S350" s="36"/>
      <x:c r="T350" s="36"/>
      <x:c r="U350" s="36"/>
      <x:c r="V350" s="42"/>
      <x:c r="W350" s="36"/>
      <x:c r="X350" s="36" t="str">
        <x:f>IF(E350="","",IF(COUNTIF($E$7:$E$506,E350)&gt;1,"DUPLICATE","OK"))</x:f>
      </x:c>
    </x:row>
    <x:row r="351">
      <x:c r="A351" s="36" t="str">
        <x:v>NEX</x:v>
      </x:c>
      <x:c r="B351" s="36"/>
      <x:c r="C351" s="38"/>
      <x:c r="D351" s="38"/>
      <x:c r="E351" s="36" t="str">
        <x:f>IF(OR(A351="",B351="",C351="",D351=""),"",A351&amp;"-"&amp;B351&amp;"-"&amp;TEXT(C351,"0000")&amp;"-"&amp;TEXT(D351,"0000"))</x:f>
      </x:c>
      <x:c r="F351" s="36" t="str">
        <x:v>R0</x:v>
      </x:c>
      <x:c r="G351" s="40"/>
      <x:c r="H351" s="40"/>
      <x:c r="I351" s="36"/>
      <x:c r="J351" s="36"/>
      <x:c r="K351" s="36"/>
      <x:c r="L351" s="44"/>
      <x:c r="M351" s="36" t="str">
        <x:v>MYR</x:v>
      </x:c>
      <x:c r="N351" s="36"/>
      <x:c r="O351" s="36"/>
      <x:c r="P351" s="40"/>
      <x:c r="Q351" s="36" t="str">
        <x:f>IF(P351="","",P351-TODAY())</x:f>
      </x:c>
      <x:c r="R351" s="36" t="str">
        <x:f>IF(E351="","",IF(X351="DUPLICATE","STOP — DUPLICATE",IF(OR(N351="Completed",N351="Cancelled",N351="Rejected",N351="Superseded"),"Closed",IF(P351="","No due date",IF(Q351&lt;0,"OVERDUE",IF(Q351&lt;=7,"DUE SOON","Open"))))))</x:f>
      </x:c>
      <x:c r="S351" s="36"/>
      <x:c r="T351" s="36"/>
      <x:c r="U351" s="36"/>
      <x:c r="V351" s="42"/>
      <x:c r="W351" s="36"/>
      <x:c r="X351" s="36" t="str">
        <x:f>IF(E351="","",IF(COUNTIF($E$7:$E$506,E351)&gt;1,"DUPLICATE","OK"))</x:f>
      </x:c>
    </x:row>
    <x:row r="352">
      <x:c r="A352" s="36" t="str">
        <x:v>NEX</x:v>
      </x:c>
      <x:c r="B352" s="36"/>
      <x:c r="C352" s="38"/>
      <x:c r="D352" s="38"/>
      <x:c r="E352" s="36" t="str">
        <x:f>IF(OR(A352="",B352="",C352="",D352=""),"",A352&amp;"-"&amp;B352&amp;"-"&amp;TEXT(C352,"0000")&amp;"-"&amp;TEXT(D352,"0000"))</x:f>
      </x:c>
      <x:c r="F352" s="36" t="str">
        <x:v>R0</x:v>
      </x:c>
      <x:c r="G352" s="40"/>
      <x:c r="H352" s="40"/>
      <x:c r="I352" s="36"/>
      <x:c r="J352" s="36"/>
      <x:c r="K352" s="36"/>
      <x:c r="L352" s="44"/>
      <x:c r="M352" s="36" t="str">
        <x:v>MYR</x:v>
      </x:c>
      <x:c r="N352" s="36"/>
      <x:c r="O352" s="36"/>
      <x:c r="P352" s="40"/>
      <x:c r="Q352" s="36" t="str">
        <x:f>IF(P352="","",P352-TODAY())</x:f>
      </x:c>
      <x:c r="R352" s="36" t="str">
        <x:f>IF(E352="","",IF(X352="DUPLICATE","STOP — DUPLICATE",IF(OR(N352="Completed",N352="Cancelled",N352="Rejected",N352="Superseded"),"Closed",IF(P352="","No due date",IF(Q352&lt;0,"OVERDUE",IF(Q352&lt;=7,"DUE SOON","Open"))))))</x:f>
      </x:c>
      <x:c r="S352" s="36"/>
      <x:c r="T352" s="36"/>
      <x:c r="U352" s="36"/>
      <x:c r="V352" s="42"/>
      <x:c r="W352" s="36"/>
      <x:c r="X352" s="36" t="str">
        <x:f>IF(E352="","",IF(COUNTIF($E$7:$E$506,E352)&gt;1,"DUPLICATE","OK"))</x:f>
      </x:c>
    </x:row>
    <x:row r="353">
      <x:c r="A353" s="36" t="str">
        <x:v>NEX</x:v>
      </x:c>
      <x:c r="B353" s="36"/>
      <x:c r="C353" s="38"/>
      <x:c r="D353" s="38"/>
      <x:c r="E353" s="36" t="str">
        <x:f>IF(OR(A353="",B353="",C353="",D353=""),"",A353&amp;"-"&amp;B353&amp;"-"&amp;TEXT(C353,"0000")&amp;"-"&amp;TEXT(D353,"0000"))</x:f>
      </x:c>
      <x:c r="F353" s="36" t="str">
        <x:v>R0</x:v>
      </x:c>
      <x:c r="G353" s="40"/>
      <x:c r="H353" s="40"/>
      <x:c r="I353" s="36"/>
      <x:c r="J353" s="36"/>
      <x:c r="K353" s="36"/>
      <x:c r="L353" s="44"/>
      <x:c r="M353" s="36" t="str">
        <x:v>MYR</x:v>
      </x:c>
      <x:c r="N353" s="36"/>
      <x:c r="O353" s="36"/>
      <x:c r="P353" s="40"/>
      <x:c r="Q353" s="36" t="str">
        <x:f>IF(P353="","",P353-TODAY())</x:f>
      </x:c>
      <x:c r="R353" s="36" t="str">
        <x:f>IF(E353="","",IF(X353="DUPLICATE","STOP — DUPLICATE",IF(OR(N353="Completed",N353="Cancelled",N353="Rejected",N353="Superseded"),"Closed",IF(P353="","No due date",IF(Q353&lt;0,"OVERDUE",IF(Q353&lt;=7,"DUE SOON","Open"))))))</x:f>
      </x:c>
      <x:c r="S353" s="36"/>
      <x:c r="T353" s="36"/>
      <x:c r="U353" s="36"/>
      <x:c r="V353" s="42"/>
      <x:c r="W353" s="36"/>
      <x:c r="X353" s="36" t="str">
        <x:f>IF(E353="","",IF(COUNTIF($E$7:$E$506,E353)&gt;1,"DUPLICATE","OK"))</x:f>
      </x:c>
    </x:row>
    <x:row r="354">
      <x:c r="A354" s="36" t="str">
        <x:v>NEX</x:v>
      </x:c>
      <x:c r="B354" s="36"/>
      <x:c r="C354" s="38"/>
      <x:c r="D354" s="38"/>
      <x:c r="E354" s="36" t="str">
        <x:f>IF(OR(A354="",B354="",C354="",D354=""),"",A354&amp;"-"&amp;B354&amp;"-"&amp;TEXT(C354,"0000")&amp;"-"&amp;TEXT(D354,"0000"))</x:f>
      </x:c>
      <x:c r="F354" s="36" t="str">
        <x:v>R0</x:v>
      </x:c>
      <x:c r="G354" s="40"/>
      <x:c r="H354" s="40"/>
      <x:c r="I354" s="36"/>
      <x:c r="J354" s="36"/>
      <x:c r="K354" s="36"/>
      <x:c r="L354" s="44"/>
      <x:c r="M354" s="36" t="str">
        <x:v>MYR</x:v>
      </x:c>
      <x:c r="N354" s="36"/>
      <x:c r="O354" s="36"/>
      <x:c r="P354" s="40"/>
      <x:c r="Q354" s="36" t="str">
        <x:f>IF(P354="","",P354-TODAY())</x:f>
      </x:c>
      <x:c r="R354" s="36" t="str">
        <x:f>IF(E354="","",IF(X354="DUPLICATE","STOP — DUPLICATE",IF(OR(N354="Completed",N354="Cancelled",N354="Rejected",N354="Superseded"),"Closed",IF(P354="","No due date",IF(Q354&lt;0,"OVERDUE",IF(Q354&lt;=7,"DUE SOON","Open"))))))</x:f>
      </x:c>
      <x:c r="S354" s="36"/>
      <x:c r="T354" s="36"/>
      <x:c r="U354" s="36"/>
      <x:c r="V354" s="42"/>
      <x:c r="W354" s="36"/>
      <x:c r="X354" s="36" t="str">
        <x:f>IF(E354="","",IF(COUNTIF($E$7:$E$506,E354)&gt;1,"DUPLICATE","OK"))</x:f>
      </x:c>
    </x:row>
    <x:row r="355">
      <x:c r="A355" s="36" t="str">
        <x:v>NEX</x:v>
      </x:c>
      <x:c r="B355" s="36"/>
      <x:c r="C355" s="38"/>
      <x:c r="D355" s="38"/>
      <x:c r="E355" s="36" t="str">
        <x:f>IF(OR(A355="",B355="",C355="",D355=""),"",A355&amp;"-"&amp;B355&amp;"-"&amp;TEXT(C355,"0000")&amp;"-"&amp;TEXT(D355,"0000"))</x:f>
      </x:c>
      <x:c r="F355" s="36" t="str">
        <x:v>R0</x:v>
      </x:c>
      <x:c r="G355" s="40"/>
      <x:c r="H355" s="40"/>
      <x:c r="I355" s="36"/>
      <x:c r="J355" s="36"/>
      <x:c r="K355" s="36"/>
      <x:c r="L355" s="44"/>
      <x:c r="M355" s="36" t="str">
        <x:v>MYR</x:v>
      </x:c>
      <x:c r="N355" s="36"/>
      <x:c r="O355" s="36"/>
      <x:c r="P355" s="40"/>
      <x:c r="Q355" s="36" t="str">
        <x:f>IF(P355="","",P355-TODAY())</x:f>
      </x:c>
      <x:c r="R355" s="36" t="str">
        <x:f>IF(E355="","",IF(X355="DUPLICATE","STOP — DUPLICATE",IF(OR(N355="Completed",N355="Cancelled",N355="Rejected",N355="Superseded"),"Closed",IF(P355="","No due date",IF(Q355&lt;0,"OVERDUE",IF(Q355&lt;=7,"DUE SOON","Open"))))))</x:f>
      </x:c>
      <x:c r="S355" s="36"/>
      <x:c r="T355" s="36"/>
      <x:c r="U355" s="36"/>
      <x:c r="V355" s="42"/>
      <x:c r="W355" s="36"/>
      <x:c r="X355" s="36" t="str">
        <x:f>IF(E355="","",IF(COUNTIF($E$7:$E$506,E355)&gt;1,"DUPLICATE","OK"))</x:f>
      </x:c>
    </x:row>
    <x:row r="356">
      <x:c r="A356" s="36" t="str">
        <x:v>NEX</x:v>
      </x:c>
      <x:c r="B356" s="36"/>
      <x:c r="C356" s="38"/>
      <x:c r="D356" s="38"/>
      <x:c r="E356" s="36" t="str">
        <x:f>IF(OR(A356="",B356="",C356="",D356=""),"",A356&amp;"-"&amp;B356&amp;"-"&amp;TEXT(C356,"0000")&amp;"-"&amp;TEXT(D356,"0000"))</x:f>
      </x:c>
      <x:c r="F356" s="36" t="str">
        <x:v>R0</x:v>
      </x:c>
      <x:c r="G356" s="40"/>
      <x:c r="H356" s="40"/>
      <x:c r="I356" s="36"/>
      <x:c r="J356" s="36"/>
      <x:c r="K356" s="36"/>
      <x:c r="L356" s="44"/>
      <x:c r="M356" s="36" t="str">
        <x:v>MYR</x:v>
      </x:c>
      <x:c r="N356" s="36"/>
      <x:c r="O356" s="36"/>
      <x:c r="P356" s="40"/>
      <x:c r="Q356" s="36" t="str">
        <x:f>IF(P356="","",P356-TODAY())</x:f>
      </x:c>
      <x:c r="R356" s="36" t="str">
        <x:f>IF(E356="","",IF(X356="DUPLICATE","STOP — DUPLICATE",IF(OR(N356="Completed",N356="Cancelled",N356="Rejected",N356="Superseded"),"Closed",IF(P356="","No due date",IF(Q356&lt;0,"OVERDUE",IF(Q356&lt;=7,"DUE SOON","Open"))))))</x:f>
      </x:c>
      <x:c r="S356" s="36"/>
      <x:c r="T356" s="36"/>
      <x:c r="U356" s="36"/>
      <x:c r="V356" s="42"/>
      <x:c r="W356" s="36"/>
      <x:c r="X356" s="36" t="str">
        <x:f>IF(E356="","",IF(COUNTIF($E$7:$E$506,E356)&gt;1,"DUPLICATE","OK"))</x:f>
      </x:c>
    </x:row>
    <x:row r="357">
      <x:c r="A357" s="36" t="str">
        <x:v>NEX</x:v>
      </x:c>
      <x:c r="B357" s="36"/>
      <x:c r="C357" s="38"/>
      <x:c r="D357" s="38"/>
      <x:c r="E357" s="36" t="str">
        <x:f>IF(OR(A357="",B357="",C357="",D357=""),"",A357&amp;"-"&amp;B357&amp;"-"&amp;TEXT(C357,"0000")&amp;"-"&amp;TEXT(D357,"0000"))</x:f>
      </x:c>
      <x:c r="F357" s="36" t="str">
        <x:v>R0</x:v>
      </x:c>
      <x:c r="G357" s="40"/>
      <x:c r="H357" s="40"/>
      <x:c r="I357" s="36"/>
      <x:c r="J357" s="36"/>
      <x:c r="K357" s="36"/>
      <x:c r="L357" s="44"/>
      <x:c r="M357" s="36" t="str">
        <x:v>MYR</x:v>
      </x:c>
      <x:c r="N357" s="36"/>
      <x:c r="O357" s="36"/>
      <x:c r="P357" s="40"/>
      <x:c r="Q357" s="36" t="str">
        <x:f>IF(P357="","",P357-TODAY())</x:f>
      </x:c>
      <x:c r="R357" s="36" t="str">
        <x:f>IF(E357="","",IF(X357="DUPLICATE","STOP — DUPLICATE",IF(OR(N357="Completed",N357="Cancelled",N357="Rejected",N357="Superseded"),"Closed",IF(P357="","No due date",IF(Q357&lt;0,"OVERDUE",IF(Q357&lt;=7,"DUE SOON","Open"))))))</x:f>
      </x:c>
      <x:c r="S357" s="36"/>
      <x:c r="T357" s="36"/>
      <x:c r="U357" s="36"/>
      <x:c r="V357" s="42"/>
      <x:c r="W357" s="36"/>
      <x:c r="X357" s="36" t="str">
        <x:f>IF(E357="","",IF(COUNTIF($E$7:$E$506,E357)&gt;1,"DUPLICATE","OK"))</x:f>
      </x:c>
    </x:row>
    <x:row r="358">
      <x:c r="A358" s="36" t="str">
        <x:v>NEX</x:v>
      </x:c>
      <x:c r="B358" s="36"/>
      <x:c r="C358" s="38"/>
      <x:c r="D358" s="38"/>
      <x:c r="E358" s="36" t="str">
        <x:f>IF(OR(A358="",B358="",C358="",D358=""),"",A358&amp;"-"&amp;B358&amp;"-"&amp;TEXT(C358,"0000")&amp;"-"&amp;TEXT(D358,"0000"))</x:f>
      </x:c>
      <x:c r="F358" s="36" t="str">
        <x:v>R0</x:v>
      </x:c>
      <x:c r="G358" s="40"/>
      <x:c r="H358" s="40"/>
      <x:c r="I358" s="36"/>
      <x:c r="J358" s="36"/>
      <x:c r="K358" s="36"/>
      <x:c r="L358" s="44"/>
      <x:c r="M358" s="36" t="str">
        <x:v>MYR</x:v>
      </x:c>
      <x:c r="N358" s="36"/>
      <x:c r="O358" s="36"/>
      <x:c r="P358" s="40"/>
      <x:c r="Q358" s="36" t="str">
        <x:f>IF(P358="","",P358-TODAY())</x:f>
      </x:c>
      <x:c r="R358" s="36" t="str">
        <x:f>IF(E358="","",IF(X358="DUPLICATE","STOP — DUPLICATE",IF(OR(N358="Completed",N358="Cancelled",N358="Rejected",N358="Superseded"),"Closed",IF(P358="","No due date",IF(Q358&lt;0,"OVERDUE",IF(Q358&lt;=7,"DUE SOON","Open"))))))</x:f>
      </x:c>
      <x:c r="S358" s="36"/>
      <x:c r="T358" s="36"/>
      <x:c r="U358" s="36"/>
      <x:c r="V358" s="42"/>
      <x:c r="W358" s="36"/>
      <x:c r="X358" s="36" t="str">
        <x:f>IF(E358="","",IF(COUNTIF($E$7:$E$506,E358)&gt;1,"DUPLICATE","OK"))</x:f>
      </x:c>
    </x:row>
    <x:row r="359">
      <x:c r="A359" s="36" t="str">
        <x:v>NEX</x:v>
      </x:c>
      <x:c r="B359" s="36"/>
      <x:c r="C359" s="38"/>
      <x:c r="D359" s="38"/>
      <x:c r="E359" s="36" t="str">
        <x:f>IF(OR(A359="",B359="",C359="",D359=""),"",A359&amp;"-"&amp;B359&amp;"-"&amp;TEXT(C359,"0000")&amp;"-"&amp;TEXT(D359,"0000"))</x:f>
      </x:c>
      <x:c r="F359" s="36" t="str">
        <x:v>R0</x:v>
      </x:c>
      <x:c r="G359" s="40"/>
      <x:c r="H359" s="40"/>
      <x:c r="I359" s="36"/>
      <x:c r="J359" s="36"/>
      <x:c r="K359" s="36"/>
      <x:c r="L359" s="44"/>
      <x:c r="M359" s="36" t="str">
        <x:v>MYR</x:v>
      </x:c>
      <x:c r="N359" s="36"/>
      <x:c r="O359" s="36"/>
      <x:c r="P359" s="40"/>
      <x:c r="Q359" s="36" t="str">
        <x:f>IF(P359="","",P359-TODAY())</x:f>
      </x:c>
      <x:c r="R359" s="36" t="str">
        <x:f>IF(E359="","",IF(X359="DUPLICATE","STOP — DUPLICATE",IF(OR(N359="Completed",N359="Cancelled",N359="Rejected",N359="Superseded"),"Closed",IF(P359="","No due date",IF(Q359&lt;0,"OVERDUE",IF(Q359&lt;=7,"DUE SOON","Open"))))))</x:f>
      </x:c>
      <x:c r="S359" s="36"/>
      <x:c r="T359" s="36"/>
      <x:c r="U359" s="36"/>
      <x:c r="V359" s="42"/>
      <x:c r="W359" s="36"/>
      <x:c r="X359" s="36" t="str">
        <x:f>IF(E359="","",IF(COUNTIF($E$7:$E$506,E359)&gt;1,"DUPLICATE","OK"))</x:f>
      </x:c>
    </x:row>
    <x:row r="360">
      <x:c r="A360" s="36" t="str">
        <x:v>NEX</x:v>
      </x:c>
      <x:c r="B360" s="36"/>
      <x:c r="C360" s="38"/>
      <x:c r="D360" s="38"/>
      <x:c r="E360" s="36" t="str">
        <x:f>IF(OR(A360="",B360="",C360="",D360=""),"",A360&amp;"-"&amp;B360&amp;"-"&amp;TEXT(C360,"0000")&amp;"-"&amp;TEXT(D360,"0000"))</x:f>
      </x:c>
      <x:c r="F360" s="36" t="str">
        <x:v>R0</x:v>
      </x:c>
      <x:c r="G360" s="40"/>
      <x:c r="H360" s="40"/>
      <x:c r="I360" s="36"/>
      <x:c r="J360" s="36"/>
      <x:c r="K360" s="36"/>
      <x:c r="L360" s="44"/>
      <x:c r="M360" s="36" t="str">
        <x:v>MYR</x:v>
      </x:c>
      <x:c r="N360" s="36"/>
      <x:c r="O360" s="36"/>
      <x:c r="P360" s="40"/>
      <x:c r="Q360" s="36" t="str">
        <x:f>IF(P360="","",P360-TODAY())</x:f>
      </x:c>
      <x:c r="R360" s="36" t="str">
        <x:f>IF(E360="","",IF(X360="DUPLICATE","STOP — DUPLICATE",IF(OR(N360="Completed",N360="Cancelled",N360="Rejected",N360="Superseded"),"Closed",IF(P360="","No due date",IF(Q360&lt;0,"OVERDUE",IF(Q360&lt;=7,"DUE SOON","Open"))))))</x:f>
      </x:c>
      <x:c r="S360" s="36"/>
      <x:c r="T360" s="36"/>
      <x:c r="U360" s="36"/>
      <x:c r="V360" s="42"/>
      <x:c r="W360" s="36"/>
      <x:c r="X360" s="36" t="str">
        <x:f>IF(E360="","",IF(COUNTIF($E$7:$E$506,E360)&gt;1,"DUPLICATE","OK"))</x:f>
      </x:c>
    </x:row>
    <x:row r="361">
      <x:c r="A361" s="36" t="str">
        <x:v>NEX</x:v>
      </x:c>
      <x:c r="B361" s="36"/>
      <x:c r="C361" s="38"/>
      <x:c r="D361" s="38"/>
      <x:c r="E361" s="36" t="str">
        <x:f>IF(OR(A361="",B361="",C361="",D361=""),"",A361&amp;"-"&amp;B361&amp;"-"&amp;TEXT(C361,"0000")&amp;"-"&amp;TEXT(D361,"0000"))</x:f>
      </x:c>
      <x:c r="F361" s="36" t="str">
        <x:v>R0</x:v>
      </x:c>
      <x:c r="G361" s="40"/>
      <x:c r="H361" s="40"/>
      <x:c r="I361" s="36"/>
      <x:c r="J361" s="36"/>
      <x:c r="K361" s="36"/>
      <x:c r="L361" s="44"/>
      <x:c r="M361" s="36" t="str">
        <x:v>MYR</x:v>
      </x:c>
      <x:c r="N361" s="36"/>
      <x:c r="O361" s="36"/>
      <x:c r="P361" s="40"/>
      <x:c r="Q361" s="36" t="str">
        <x:f>IF(P361="","",P361-TODAY())</x:f>
      </x:c>
      <x:c r="R361" s="36" t="str">
        <x:f>IF(E361="","",IF(X361="DUPLICATE","STOP — DUPLICATE",IF(OR(N361="Completed",N361="Cancelled",N361="Rejected",N361="Superseded"),"Closed",IF(P361="","No due date",IF(Q361&lt;0,"OVERDUE",IF(Q361&lt;=7,"DUE SOON","Open"))))))</x:f>
      </x:c>
      <x:c r="S361" s="36"/>
      <x:c r="T361" s="36"/>
      <x:c r="U361" s="36"/>
      <x:c r="V361" s="42"/>
      <x:c r="W361" s="36"/>
      <x:c r="X361" s="36" t="str">
        <x:f>IF(E361="","",IF(COUNTIF($E$7:$E$506,E361)&gt;1,"DUPLICATE","OK"))</x:f>
      </x:c>
    </x:row>
    <x:row r="362">
      <x:c r="A362" s="36" t="str">
        <x:v>NEX</x:v>
      </x:c>
      <x:c r="B362" s="36"/>
      <x:c r="C362" s="38"/>
      <x:c r="D362" s="38"/>
      <x:c r="E362" s="36" t="str">
        <x:f>IF(OR(A362="",B362="",C362="",D362=""),"",A362&amp;"-"&amp;B362&amp;"-"&amp;TEXT(C362,"0000")&amp;"-"&amp;TEXT(D362,"0000"))</x:f>
      </x:c>
      <x:c r="F362" s="36" t="str">
        <x:v>R0</x:v>
      </x:c>
      <x:c r="G362" s="40"/>
      <x:c r="H362" s="40"/>
      <x:c r="I362" s="36"/>
      <x:c r="J362" s="36"/>
      <x:c r="K362" s="36"/>
      <x:c r="L362" s="44"/>
      <x:c r="M362" s="36" t="str">
        <x:v>MYR</x:v>
      </x:c>
      <x:c r="N362" s="36"/>
      <x:c r="O362" s="36"/>
      <x:c r="P362" s="40"/>
      <x:c r="Q362" s="36" t="str">
        <x:f>IF(P362="","",P362-TODAY())</x:f>
      </x:c>
      <x:c r="R362" s="36" t="str">
        <x:f>IF(E362="","",IF(X362="DUPLICATE","STOP — DUPLICATE",IF(OR(N362="Completed",N362="Cancelled",N362="Rejected",N362="Superseded"),"Closed",IF(P362="","No due date",IF(Q362&lt;0,"OVERDUE",IF(Q362&lt;=7,"DUE SOON","Open"))))))</x:f>
      </x:c>
      <x:c r="S362" s="36"/>
      <x:c r="T362" s="36"/>
      <x:c r="U362" s="36"/>
      <x:c r="V362" s="42"/>
      <x:c r="W362" s="36"/>
      <x:c r="X362" s="36" t="str">
        <x:f>IF(E362="","",IF(COUNTIF($E$7:$E$506,E362)&gt;1,"DUPLICATE","OK"))</x:f>
      </x:c>
    </x:row>
    <x:row r="363">
      <x:c r="A363" s="36" t="str">
        <x:v>NEX</x:v>
      </x:c>
      <x:c r="B363" s="36"/>
      <x:c r="C363" s="38"/>
      <x:c r="D363" s="38"/>
      <x:c r="E363" s="36" t="str">
        <x:f>IF(OR(A363="",B363="",C363="",D363=""),"",A363&amp;"-"&amp;B363&amp;"-"&amp;TEXT(C363,"0000")&amp;"-"&amp;TEXT(D363,"0000"))</x:f>
      </x:c>
      <x:c r="F363" s="36" t="str">
        <x:v>R0</x:v>
      </x:c>
      <x:c r="G363" s="40"/>
      <x:c r="H363" s="40"/>
      <x:c r="I363" s="36"/>
      <x:c r="J363" s="36"/>
      <x:c r="K363" s="36"/>
      <x:c r="L363" s="44"/>
      <x:c r="M363" s="36" t="str">
        <x:v>MYR</x:v>
      </x:c>
      <x:c r="N363" s="36"/>
      <x:c r="O363" s="36"/>
      <x:c r="P363" s="40"/>
      <x:c r="Q363" s="36" t="str">
        <x:f>IF(P363="","",P363-TODAY())</x:f>
      </x:c>
      <x:c r="R363" s="36" t="str">
        <x:f>IF(E363="","",IF(X363="DUPLICATE","STOP — DUPLICATE",IF(OR(N363="Completed",N363="Cancelled",N363="Rejected",N363="Superseded"),"Closed",IF(P363="","No due date",IF(Q363&lt;0,"OVERDUE",IF(Q363&lt;=7,"DUE SOON","Open"))))))</x:f>
      </x:c>
      <x:c r="S363" s="36"/>
      <x:c r="T363" s="36"/>
      <x:c r="U363" s="36"/>
      <x:c r="V363" s="42"/>
      <x:c r="W363" s="36"/>
      <x:c r="X363" s="36" t="str">
        <x:f>IF(E363="","",IF(COUNTIF($E$7:$E$506,E363)&gt;1,"DUPLICATE","OK"))</x:f>
      </x:c>
    </x:row>
    <x:row r="364">
      <x:c r="A364" s="36" t="str">
        <x:v>NEX</x:v>
      </x:c>
      <x:c r="B364" s="36"/>
      <x:c r="C364" s="38"/>
      <x:c r="D364" s="38"/>
      <x:c r="E364" s="36" t="str">
        <x:f>IF(OR(A364="",B364="",C364="",D364=""),"",A364&amp;"-"&amp;B364&amp;"-"&amp;TEXT(C364,"0000")&amp;"-"&amp;TEXT(D364,"0000"))</x:f>
      </x:c>
      <x:c r="F364" s="36" t="str">
        <x:v>R0</x:v>
      </x:c>
      <x:c r="G364" s="40"/>
      <x:c r="H364" s="40"/>
      <x:c r="I364" s="36"/>
      <x:c r="J364" s="36"/>
      <x:c r="K364" s="36"/>
      <x:c r="L364" s="44"/>
      <x:c r="M364" s="36" t="str">
        <x:v>MYR</x:v>
      </x:c>
      <x:c r="N364" s="36"/>
      <x:c r="O364" s="36"/>
      <x:c r="P364" s="40"/>
      <x:c r="Q364" s="36" t="str">
        <x:f>IF(P364="","",P364-TODAY())</x:f>
      </x:c>
      <x:c r="R364" s="36" t="str">
        <x:f>IF(E364="","",IF(X364="DUPLICATE","STOP — DUPLICATE",IF(OR(N364="Completed",N364="Cancelled",N364="Rejected",N364="Superseded"),"Closed",IF(P364="","No due date",IF(Q364&lt;0,"OVERDUE",IF(Q364&lt;=7,"DUE SOON","Open"))))))</x:f>
      </x:c>
      <x:c r="S364" s="36"/>
      <x:c r="T364" s="36"/>
      <x:c r="U364" s="36"/>
      <x:c r="V364" s="42"/>
      <x:c r="W364" s="36"/>
      <x:c r="X364" s="36" t="str">
        <x:f>IF(E364="","",IF(COUNTIF($E$7:$E$506,E364)&gt;1,"DUPLICATE","OK"))</x:f>
      </x:c>
    </x:row>
    <x:row r="365">
      <x:c r="A365" s="36" t="str">
        <x:v>NEX</x:v>
      </x:c>
      <x:c r="B365" s="36"/>
      <x:c r="C365" s="38"/>
      <x:c r="D365" s="38"/>
      <x:c r="E365" s="36" t="str">
        <x:f>IF(OR(A365="",B365="",C365="",D365=""),"",A365&amp;"-"&amp;B365&amp;"-"&amp;TEXT(C365,"0000")&amp;"-"&amp;TEXT(D365,"0000"))</x:f>
      </x:c>
      <x:c r="F365" s="36" t="str">
        <x:v>R0</x:v>
      </x:c>
      <x:c r="G365" s="40"/>
      <x:c r="H365" s="40"/>
      <x:c r="I365" s="36"/>
      <x:c r="J365" s="36"/>
      <x:c r="K365" s="36"/>
      <x:c r="L365" s="44"/>
      <x:c r="M365" s="36" t="str">
        <x:v>MYR</x:v>
      </x:c>
      <x:c r="N365" s="36"/>
      <x:c r="O365" s="36"/>
      <x:c r="P365" s="40"/>
      <x:c r="Q365" s="36" t="str">
        <x:f>IF(P365="","",P365-TODAY())</x:f>
      </x:c>
      <x:c r="R365" s="36" t="str">
        <x:f>IF(E365="","",IF(X365="DUPLICATE","STOP — DUPLICATE",IF(OR(N365="Completed",N365="Cancelled",N365="Rejected",N365="Superseded"),"Closed",IF(P365="","No due date",IF(Q365&lt;0,"OVERDUE",IF(Q365&lt;=7,"DUE SOON","Open"))))))</x:f>
      </x:c>
      <x:c r="S365" s="36"/>
      <x:c r="T365" s="36"/>
      <x:c r="U365" s="36"/>
      <x:c r="V365" s="42"/>
      <x:c r="W365" s="36"/>
      <x:c r="X365" s="36" t="str">
        <x:f>IF(E365="","",IF(COUNTIF($E$7:$E$506,E365)&gt;1,"DUPLICATE","OK"))</x:f>
      </x:c>
    </x:row>
    <x:row r="366">
      <x:c r="A366" s="36" t="str">
        <x:v>NEX</x:v>
      </x:c>
      <x:c r="B366" s="36"/>
      <x:c r="C366" s="38"/>
      <x:c r="D366" s="38"/>
      <x:c r="E366" s="36" t="str">
        <x:f>IF(OR(A366="",B366="",C366="",D366=""),"",A366&amp;"-"&amp;B366&amp;"-"&amp;TEXT(C366,"0000")&amp;"-"&amp;TEXT(D366,"0000"))</x:f>
      </x:c>
      <x:c r="F366" s="36" t="str">
        <x:v>R0</x:v>
      </x:c>
      <x:c r="G366" s="40"/>
      <x:c r="H366" s="40"/>
      <x:c r="I366" s="36"/>
      <x:c r="J366" s="36"/>
      <x:c r="K366" s="36"/>
      <x:c r="L366" s="44"/>
      <x:c r="M366" s="36" t="str">
        <x:v>MYR</x:v>
      </x:c>
      <x:c r="N366" s="36"/>
      <x:c r="O366" s="36"/>
      <x:c r="P366" s="40"/>
      <x:c r="Q366" s="36" t="str">
        <x:f>IF(P366="","",P366-TODAY())</x:f>
      </x:c>
      <x:c r="R366" s="36" t="str">
        <x:f>IF(E366="","",IF(X366="DUPLICATE","STOP — DUPLICATE",IF(OR(N366="Completed",N366="Cancelled",N366="Rejected",N366="Superseded"),"Closed",IF(P366="","No due date",IF(Q366&lt;0,"OVERDUE",IF(Q366&lt;=7,"DUE SOON","Open"))))))</x:f>
      </x:c>
      <x:c r="S366" s="36"/>
      <x:c r="T366" s="36"/>
      <x:c r="U366" s="36"/>
      <x:c r="V366" s="42"/>
      <x:c r="W366" s="36"/>
      <x:c r="X366" s="36" t="str">
        <x:f>IF(E366="","",IF(COUNTIF($E$7:$E$506,E366)&gt;1,"DUPLICATE","OK"))</x:f>
      </x:c>
    </x:row>
    <x:row r="367">
      <x:c r="A367" s="36" t="str">
        <x:v>NEX</x:v>
      </x:c>
      <x:c r="B367" s="36"/>
      <x:c r="C367" s="38"/>
      <x:c r="D367" s="38"/>
      <x:c r="E367" s="36" t="str">
        <x:f>IF(OR(A367="",B367="",C367="",D367=""),"",A367&amp;"-"&amp;B367&amp;"-"&amp;TEXT(C367,"0000")&amp;"-"&amp;TEXT(D367,"0000"))</x:f>
      </x:c>
      <x:c r="F367" s="36" t="str">
        <x:v>R0</x:v>
      </x:c>
      <x:c r="G367" s="40"/>
      <x:c r="H367" s="40"/>
      <x:c r="I367" s="36"/>
      <x:c r="J367" s="36"/>
      <x:c r="K367" s="36"/>
      <x:c r="L367" s="44"/>
      <x:c r="M367" s="36" t="str">
        <x:v>MYR</x:v>
      </x:c>
      <x:c r="N367" s="36"/>
      <x:c r="O367" s="36"/>
      <x:c r="P367" s="40"/>
      <x:c r="Q367" s="36" t="str">
        <x:f>IF(P367="","",P367-TODAY())</x:f>
      </x:c>
      <x:c r="R367" s="36" t="str">
        <x:f>IF(E367="","",IF(X367="DUPLICATE","STOP — DUPLICATE",IF(OR(N367="Completed",N367="Cancelled",N367="Rejected",N367="Superseded"),"Closed",IF(P367="","No due date",IF(Q367&lt;0,"OVERDUE",IF(Q367&lt;=7,"DUE SOON","Open"))))))</x:f>
      </x:c>
      <x:c r="S367" s="36"/>
      <x:c r="T367" s="36"/>
      <x:c r="U367" s="36"/>
      <x:c r="V367" s="42"/>
      <x:c r="W367" s="36"/>
      <x:c r="X367" s="36" t="str">
        <x:f>IF(E367="","",IF(COUNTIF($E$7:$E$506,E367)&gt;1,"DUPLICATE","OK"))</x:f>
      </x:c>
    </x:row>
    <x:row r="368">
      <x:c r="A368" s="36" t="str">
        <x:v>NEX</x:v>
      </x:c>
      <x:c r="B368" s="36"/>
      <x:c r="C368" s="38"/>
      <x:c r="D368" s="38"/>
      <x:c r="E368" s="36" t="str">
        <x:f>IF(OR(A368="",B368="",C368="",D368=""),"",A368&amp;"-"&amp;B368&amp;"-"&amp;TEXT(C368,"0000")&amp;"-"&amp;TEXT(D368,"0000"))</x:f>
      </x:c>
      <x:c r="F368" s="36" t="str">
        <x:v>R0</x:v>
      </x:c>
      <x:c r="G368" s="40"/>
      <x:c r="H368" s="40"/>
      <x:c r="I368" s="36"/>
      <x:c r="J368" s="36"/>
      <x:c r="K368" s="36"/>
      <x:c r="L368" s="44"/>
      <x:c r="M368" s="36" t="str">
        <x:v>MYR</x:v>
      </x:c>
      <x:c r="N368" s="36"/>
      <x:c r="O368" s="36"/>
      <x:c r="P368" s="40"/>
      <x:c r="Q368" s="36" t="str">
        <x:f>IF(P368="","",P368-TODAY())</x:f>
      </x:c>
      <x:c r="R368" s="36" t="str">
        <x:f>IF(E368="","",IF(X368="DUPLICATE","STOP — DUPLICATE",IF(OR(N368="Completed",N368="Cancelled",N368="Rejected",N368="Superseded"),"Closed",IF(P368="","No due date",IF(Q368&lt;0,"OVERDUE",IF(Q368&lt;=7,"DUE SOON","Open"))))))</x:f>
      </x:c>
      <x:c r="S368" s="36"/>
      <x:c r="T368" s="36"/>
      <x:c r="U368" s="36"/>
      <x:c r="V368" s="42"/>
      <x:c r="W368" s="36"/>
      <x:c r="X368" s="36" t="str">
        <x:f>IF(E368="","",IF(COUNTIF($E$7:$E$506,E368)&gt;1,"DUPLICATE","OK"))</x:f>
      </x:c>
    </x:row>
    <x:row r="369">
      <x:c r="A369" s="36" t="str">
        <x:v>NEX</x:v>
      </x:c>
      <x:c r="B369" s="36"/>
      <x:c r="C369" s="38"/>
      <x:c r="D369" s="38"/>
      <x:c r="E369" s="36" t="str">
        <x:f>IF(OR(A369="",B369="",C369="",D369=""),"",A369&amp;"-"&amp;B369&amp;"-"&amp;TEXT(C369,"0000")&amp;"-"&amp;TEXT(D369,"0000"))</x:f>
      </x:c>
      <x:c r="F369" s="36" t="str">
        <x:v>R0</x:v>
      </x:c>
      <x:c r="G369" s="40"/>
      <x:c r="H369" s="40"/>
      <x:c r="I369" s="36"/>
      <x:c r="J369" s="36"/>
      <x:c r="K369" s="36"/>
      <x:c r="L369" s="44"/>
      <x:c r="M369" s="36" t="str">
        <x:v>MYR</x:v>
      </x:c>
      <x:c r="N369" s="36"/>
      <x:c r="O369" s="36"/>
      <x:c r="P369" s="40"/>
      <x:c r="Q369" s="36" t="str">
        <x:f>IF(P369="","",P369-TODAY())</x:f>
      </x:c>
      <x:c r="R369" s="36" t="str">
        <x:f>IF(E369="","",IF(X369="DUPLICATE","STOP — DUPLICATE",IF(OR(N369="Completed",N369="Cancelled",N369="Rejected",N369="Superseded"),"Closed",IF(P369="","No due date",IF(Q369&lt;0,"OVERDUE",IF(Q369&lt;=7,"DUE SOON","Open"))))))</x:f>
      </x:c>
      <x:c r="S369" s="36"/>
      <x:c r="T369" s="36"/>
      <x:c r="U369" s="36"/>
      <x:c r="V369" s="42"/>
      <x:c r="W369" s="36"/>
      <x:c r="X369" s="36" t="str">
        <x:f>IF(E369="","",IF(COUNTIF($E$7:$E$506,E369)&gt;1,"DUPLICATE","OK"))</x:f>
      </x:c>
    </x:row>
    <x:row r="370">
      <x:c r="A370" s="36" t="str">
        <x:v>NEX</x:v>
      </x:c>
      <x:c r="B370" s="36"/>
      <x:c r="C370" s="38"/>
      <x:c r="D370" s="38"/>
      <x:c r="E370" s="36" t="str">
        <x:f>IF(OR(A370="",B370="",C370="",D370=""),"",A370&amp;"-"&amp;B370&amp;"-"&amp;TEXT(C370,"0000")&amp;"-"&amp;TEXT(D370,"0000"))</x:f>
      </x:c>
      <x:c r="F370" s="36" t="str">
        <x:v>R0</x:v>
      </x:c>
      <x:c r="G370" s="40"/>
      <x:c r="H370" s="40"/>
      <x:c r="I370" s="36"/>
      <x:c r="J370" s="36"/>
      <x:c r="K370" s="36"/>
      <x:c r="L370" s="44"/>
      <x:c r="M370" s="36" t="str">
        <x:v>MYR</x:v>
      </x:c>
      <x:c r="N370" s="36"/>
      <x:c r="O370" s="36"/>
      <x:c r="P370" s="40"/>
      <x:c r="Q370" s="36" t="str">
        <x:f>IF(P370="","",P370-TODAY())</x:f>
      </x:c>
      <x:c r="R370" s="36" t="str">
        <x:f>IF(E370="","",IF(X370="DUPLICATE","STOP — DUPLICATE",IF(OR(N370="Completed",N370="Cancelled",N370="Rejected",N370="Superseded"),"Closed",IF(P370="","No due date",IF(Q370&lt;0,"OVERDUE",IF(Q370&lt;=7,"DUE SOON","Open"))))))</x:f>
      </x:c>
      <x:c r="S370" s="36"/>
      <x:c r="T370" s="36"/>
      <x:c r="U370" s="36"/>
      <x:c r="V370" s="42"/>
      <x:c r="W370" s="36"/>
      <x:c r="X370" s="36" t="str">
        <x:f>IF(E370="","",IF(COUNTIF($E$7:$E$506,E370)&gt;1,"DUPLICATE","OK"))</x:f>
      </x:c>
    </x:row>
    <x:row r="371">
      <x:c r="A371" s="36" t="str">
        <x:v>NEX</x:v>
      </x:c>
      <x:c r="B371" s="36"/>
      <x:c r="C371" s="38"/>
      <x:c r="D371" s="38"/>
      <x:c r="E371" s="36" t="str">
        <x:f>IF(OR(A371="",B371="",C371="",D371=""),"",A371&amp;"-"&amp;B371&amp;"-"&amp;TEXT(C371,"0000")&amp;"-"&amp;TEXT(D371,"0000"))</x:f>
      </x:c>
      <x:c r="F371" s="36" t="str">
        <x:v>R0</x:v>
      </x:c>
      <x:c r="G371" s="40"/>
      <x:c r="H371" s="40"/>
      <x:c r="I371" s="36"/>
      <x:c r="J371" s="36"/>
      <x:c r="K371" s="36"/>
      <x:c r="L371" s="44"/>
      <x:c r="M371" s="36" t="str">
        <x:v>MYR</x:v>
      </x:c>
      <x:c r="N371" s="36"/>
      <x:c r="O371" s="36"/>
      <x:c r="P371" s="40"/>
      <x:c r="Q371" s="36" t="str">
        <x:f>IF(P371="","",P371-TODAY())</x:f>
      </x:c>
      <x:c r="R371" s="36" t="str">
        <x:f>IF(E371="","",IF(X371="DUPLICATE","STOP — DUPLICATE",IF(OR(N371="Completed",N371="Cancelled",N371="Rejected",N371="Superseded"),"Closed",IF(P371="","No due date",IF(Q371&lt;0,"OVERDUE",IF(Q371&lt;=7,"DUE SOON","Open"))))))</x:f>
      </x:c>
      <x:c r="S371" s="36"/>
      <x:c r="T371" s="36"/>
      <x:c r="U371" s="36"/>
      <x:c r="V371" s="42"/>
      <x:c r="W371" s="36"/>
      <x:c r="X371" s="36" t="str">
        <x:f>IF(E371="","",IF(COUNTIF($E$7:$E$506,E371)&gt;1,"DUPLICATE","OK"))</x:f>
      </x:c>
    </x:row>
    <x:row r="372">
      <x:c r="A372" s="36" t="str">
        <x:v>NEX</x:v>
      </x:c>
      <x:c r="B372" s="36"/>
      <x:c r="C372" s="38"/>
      <x:c r="D372" s="38"/>
      <x:c r="E372" s="36" t="str">
        <x:f>IF(OR(A372="",B372="",C372="",D372=""),"",A372&amp;"-"&amp;B372&amp;"-"&amp;TEXT(C372,"0000")&amp;"-"&amp;TEXT(D372,"0000"))</x:f>
      </x:c>
      <x:c r="F372" s="36" t="str">
        <x:v>R0</x:v>
      </x:c>
      <x:c r="G372" s="40"/>
      <x:c r="H372" s="40"/>
      <x:c r="I372" s="36"/>
      <x:c r="J372" s="36"/>
      <x:c r="K372" s="36"/>
      <x:c r="L372" s="44"/>
      <x:c r="M372" s="36" t="str">
        <x:v>MYR</x:v>
      </x:c>
      <x:c r="N372" s="36"/>
      <x:c r="O372" s="36"/>
      <x:c r="P372" s="40"/>
      <x:c r="Q372" s="36" t="str">
        <x:f>IF(P372="","",P372-TODAY())</x:f>
      </x:c>
      <x:c r="R372" s="36" t="str">
        <x:f>IF(E372="","",IF(X372="DUPLICATE","STOP — DUPLICATE",IF(OR(N372="Completed",N372="Cancelled",N372="Rejected",N372="Superseded"),"Closed",IF(P372="","No due date",IF(Q372&lt;0,"OVERDUE",IF(Q372&lt;=7,"DUE SOON","Open"))))))</x:f>
      </x:c>
      <x:c r="S372" s="36"/>
      <x:c r="T372" s="36"/>
      <x:c r="U372" s="36"/>
      <x:c r="V372" s="42"/>
      <x:c r="W372" s="36"/>
      <x:c r="X372" s="36" t="str">
        <x:f>IF(E372="","",IF(COUNTIF($E$7:$E$506,E372)&gt;1,"DUPLICATE","OK"))</x:f>
      </x:c>
    </x:row>
    <x:row r="373">
      <x:c r="A373" s="36" t="str">
        <x:v>NEX</x:v>
      </x:c>
      <x:c r="B373" s="36"/>
      <x:c r="C373" s="38"/>
      <x:c r="D373" s="38"/>
      <x:c r="E373" s="36" t="str">
        <x:f>IF(OR(A373="",B373="",C373="",D373=""),"",A373&amp;"-"&amp;B373&amp;"-"&amp;TEXT(C373,"0000")&amp;"-"&amp;TEXT(D373,"0000"))</x:f>
      </x:c>
      <x:c r="F373" s="36" t="str">
        <x:v>R0</x:v>
      </x:c>
      <x:c r="G373" s="40"/>
      <x:c r="H373" s="40"/>
      <x:c r="I373" s="36"/>
      <x:c r="J373" s="36"/>
      <x:c r="K373" s="36"/>
      <x:c r="L373" s="44"/>
      <x:c r="M373" s="36" t="str">
        <x:v>MYR</x:v>
      </x:c>
      <x:c r="N373" s="36"/>
      <x:c r="O373" s="36"/>
      <x:c r="P373" s="40"/>
      <x:c r="Q373" s="36" t="str">
        <x:f>IF(P373="","",P373-TODAY())</x:f>
      </x:c>
      <x:c r="R373" s="36" t="str">
        <x:f>IF(E373="","",IF(X373="DUPLICATE","STOP — DUPLICATE",IF(OR(N373="Completed",N373="Cancelled",N373="Rejected",N373="Superseded"),"Closed",IF(P373="","No due date",IF(Q373&lt;0,"OVERDUE",IF(Q373&lt;=7,"DUE SOON","Open"))))))</x:f>
      </x:c>
      <x:c r="S373" s="36"/>
      <x:c r="T373" s="36"/>
      <x:c r="U373" s="36"/>
      <x:c r="V373" s="42"/>
      <x:c r="W373" s="36"/>
      <x:c r="X373" s="36" t="str">
        <x:f>IF(E373="","",IF(COUNTIF($E$7:$E$506,E373)&gt;1,"DUPLICATE","OK"))</x:f>
      </x:c>
    </x:row>
    <x:row r="374">
      <x:c r="A374" s="36" t="str">
        <x:v>NEX</x:v>
      </x:c>
      <x:c r="B374" s="36"/>
      <x:c r="C374" s="38"/>
      <x:c r="D374" s="38"/>
      <x:c r="E374" s="36" t="str">
        <x:f>IF(OR(A374="",B374="",C374="",D374=""),"",A374&amp;"-"&amp;B374&amp;"-"&amp;TEXT(C374,"0000")&amp;"-"&amp;TEXT(D374,"0000"))</x:f>
      </x:c>
      <x:c r="F374" s="36" t="str">
        <x:v>R0</x:v>
      </x:c>
      <x:c r="G374" s="40"/>
      <x:c r="H374" s="40"/>
      <x:c r="I374" s="36"/>
      <x:c r="J374" s="36"/>
      <x:c r="K374" s="36"/>
      <x:c r="L374" s="44"/>
      <x:c r="M374" s="36" t="str">
        <x:v>MYR</x:v>
      </x:c>
      <x:c r="N374" s="36"/>
      <x:c r="O374" s="36"/>
      <x:c r="P374" s="40"/>
      <x:c r="Q374" s="36" t="str">
        <x:f>IF(P374="","",P374-TODAY())</x:f>
      </x:c>
      <x:c r="R374" s="36" t="str">
        <x:f>IF(E374="","",IF(X374="DUPLICATE","STOP — DUPLICATE",IF(OR(N374="Completed",N374="Cancelled",N374="Rejected",N374="Superseded"),"Closed",IF(P374="","No due date",IF(Q374&lt;0,"OVERDUE",IF(Q374&lt;=7,"DUE SOON","Open"))))))</x:f>
      </x:c>
      <x:c r="S374" s="36"/>
      <x:c r="T374" s="36"/>
      <x:c r="U374" s="36"/>
      <x:c r="V374" s="42"/>
      <x:c r="W374" s="36"/>
      <x:c r="X374" s="36" t="str">
        <x:f>IF(E374="","",IF(COUNTIF($E$7:$E$506,E374)&gt;1,"DUPLICATE","OK"))</x:f>
      </x:c>
    </x:row>
    <x:row r="375">
      <x:c r="A375" s="36" t="str">
        <x:v>NEX</x:v>
      </x:c>
      <x:c r="B375" s="36"/>
      <x:c r="C375" s="38"/>
      <x:c r="D375" s="38"/>
      <x:c r="E375" s="36" t="str">
        <x:f>IF(OR(A375="",B375="",C375="",D375=""),"",A375&amp;"-"&amp;B375&amp;"-"&amp;TEXT(C375,"0000")&amp;"-"&amp;TEXT(D375,"0000"))</x:f>
      </x:c>
      <x:c r="F375" s="36" t="str">
        <x:v>R0</x:v>
      </x:c>
      <x:c r="G375" s="40"/>
      <x:c r="H375" s="40"/>
      <x:c r="I375" s="36"/>
      <x:c r="J375" s="36"/>
      <x:c r="K375" s="36"/>
      <x:c r="L375" s="44"/>
      <x:c r="M375" s="36" t="str">
        <x:v>MYR</x:v>
      </x:c>
      <x:c r="N375" s="36"/>
      <x:c r="O375" s="36"/>
      <x:c r="P375" s="40"/>
      <x:c r="Q375" s="36" t="str">
        <x:f>IF(P375="","",P375-TODAY())</x:f>
      </x:c>
      <x:c r="R375" s="36" t="str">
        <x:f>IF(E375="","",IF(X375="DUPLICATE","STOP — DUPLICATE",IF(OR(N375="Completed",N375="Cancelled",N375="Rejected",N375="Superseded"),"Closed",IF(P375="","No due date",IF(Q375&lt;0,"OVERDUE",IF(Q375&lt;=7,"DUE SOON","Open"))))))</x:f>
      </x:c>
      <x:c r="S375" s="36"/>
      <x:c r="T375" s="36"/>
      <x:c r="U375" s="36"/>
      <x:c r="V375" s="42"/>
      <x:c r="W375" s="36"/>
      <x:c r="X375" s="36" t="str">
        <x:f>IF(E375="","",IF(COUNTIF($E$7:$E$506,E375)&gt;1,"DUPLICATE","OK"))</x:f>
      </x:c>
    </x:row>
    <x:row r="376">
      <x:c r="A376" s="36" t="str">
        <x:v>NEX</x:v>
      </x:c>
      <x:c r="B376" s="36"/>
      <x:c r="C376" s="38"/>
      <x:c r="D376" s="38"/>
      <x:c r="E376" s="36" t="str">
        <x:f>IF(OR(A376="",B376="",C376="",D376=""),"",A376&amp;"-"&amp;B376&amp;"-"&amp;TEXT(C376,"0000")&amp;"-"&amp;TEXT(D376,"0000"))</x:f>
      </x:c>
      <x:c r="F376" s="36" t="str">
        <x:v>R0</x:v>
      </x:c>
      <x:c r="G376" s="40"/>
      <x:c r="H376" s="40"/>
      <x:c r="I376" s="36"/>
      <x:c r="J376" s="36"/>
      <x:c r="K376" s="36"/>
      <x:c r="L376" s="44"/>
      <x:c r="M376" s="36" t="str">
        <x:v>MYR</x:v>
      </x:c>
      <x:c r="N376" s="36"/>
      <x:c r="O376" s="36"/>
      <x:c r="P376" s="40"/>
      <x:c r="Q376" s="36" t="str">
        <x:f>IF(P376="","",P376-TODAY())</x:f>
      </x:c>
      <x:c r="R376" s="36" t="str">
        <x:f>IF(E376="","",IF(X376="DUPLICATE","STOP — DUPLICATE",IF(OR(N376="Completed",N376="Cancelled",N376="Rejected",N376="Superseded"),"Closed",IF(P376="","No due date",IF(Q376&lt;0,"OVERDUE",IF(Q376&lt;=7,"DUE SOON","Open"))))))</x:f>
      </x:c>
      <x:c r="S376" s="36"/>
      <x:c r="T376" s="36"/>
      <x:c r="U376" s="36"/>
      <x:c r="V376" s="42"/>
      <x:c r="W376" s="36"/>
      <x:c r="X376" s="36" t="str">
        <x:f>IF(E376="","",IF(COUNTIF($E$7:$E$506,E376)&gt;1,"DUPLICATE","OK"))</x:f>
      </x:c>
    </x:row>
    <x:row r="377">
      <x:c r="A377" s="36" t="str">
        <x:v>NEX</x:v>
      </x:c>
      <x:c r="B377" s="36"/>
      <x:c r="C377" s="38"/>
      <x:c r="D377" s="38"/>
      <x:c r="E377" s="36" t="str">
        <x:f>IF(OR(A377="",B377="",C377="",D377=""),"",A377&amp;"-"&amp;B377&amp;"-"&amp;TEXT(C377,"0000")&amp;"-"&amp;TEXT(D377,"0000"))</x:f>
      </x:c>
      <x:c r="F377" s="36" t="str">
        <x:v>R0</x:v>
      </x:c>
      <x:c r="G377" s="40"/>
      <x:c r="H377" s="40"/>
      <x:c r="I377" s="36"/>
      <x:c r="J377" s="36"/>
      <x:c r="K377" s="36"/>
      <x:c r="L377" s="44"/>
      <x:c r="M377" s="36" t="str">
        <x:v>MYR</x:v>
      </x:c>
      <x:c r="N377" s="36"/>
      <x:c r="O377" s="36"/>
      <x:c r="P377" s="40"/>
      <x:c r="Q377" s="36" t="str">
        <x:f>IF(P377="","",P377-TODAY())</x:f>
      </x:c>
      <x:c r="R377" s="36" t="str">
        <x:f>IF(E377="","",IF(X377="DUPLICATE","STOP — DUPLICATE",IF(OR(N377="Completed",N377="Cancelled",N377="Rejected",N377="Superseded"),"Closed",IF(P377="","No due date",IF(Q377&lt;0,"OVERDUE",IF(Q377&lt;=7,"DUE SOON","Open"))))))</x:f>
      </x:c>
      <x:c r="S377" s="36"/>
      <x:c r="T377" s="36"/>
      <x:c r="U377" s="36"/>
      <x:c r="V377" s="42"/>
      <x:c r="W377" s="36"/>
      <x:c r="X377" s="36" t="str">
        <x:f>IF(E377="","",IF(COUNTIF($E$7:$E$506,E377)&gt;1,"DUPLICATE","OK"))</x:f>
      </x:c>
    </x:row>
    <x:row r="378">
      <x:c r="A378" s="36" t="str">
        <x:v>NEX</x:v>
      </x:c>
      <x:c r="B378" s="36"/>
      <x:c r="C378" s="38"/>
      <x:c r="D378" s="38"/>
      <x:c r="E378" s="36" t="str">
        <x:f>IF(OR(A378="",B378="",C378="",D378=""),"",A378&amp;"-"&amp;B378&amp;"-"&amp;TEXT(C378,"0000")&amp;"-"&amp;TEXT(D378,"0000"))</x:f>
      </x:c>
      <x:c r="F378" s="36" t="str">
        <x:v>R0</x:v>
      </x:c>
      <x:c r="G378" s="40"/>
      <x:c r="H378" s="40"/>
      <x:c r="I378" s="36"/>
      <x:c r="J378" s="36"/>
      <x:c r="K378" s="36"/>
      <x:c r="L378" s="44"/>
      <x:c r="M378" s="36" t="str">
        <x:v>MYR</x:v>
      </x:c>
      <x:c r="N378" s="36"/>
      <x:c r="O378" s="36"/>
      <x:c r="P378" s="40"/>
      <x:c r="Q378" s="36" t="str">
        <x:f>IF(P378="","",P378-TODAY())</x:f>
      </x:c>
      <x:c r="R378" s="36" t="str">
        <x:f>IF(E378="","",IF(X378="DUPLICATE","STOP — DUPLICATE",IF(OR(N378="Completed",N378="Cancelled",N378="Rejected",N378="Superseded"),"Closed",IF(P378="","No due date",IF(Q378&lt;0,"OVERDUE",IF(Q378&lt;=7,"DUE SOON","Open"))))))</x:f>
      </x:c>
      <x:c r="S378" s="36"/>
      <x:c r="T378" s="36"/>
      <x:c r="U378" s="36"/>
      <x:c r="V378" s="42"/>
      <x:c r="W378" s="36"/>
      <x:c r="X378" s="36" t="str">
        <x:f>IF(E378="","",IF(COUNTIF($E$7:$E$506,E378)&gt;1,"DUPLICATE","OK"))</x:f>
      </x:c>
    </x:row>
    <x:row r="379">
      <x:c r="A379" s="36" t="str">
        <x:v>NEX</x:v>
      </x:c>
      <x:c r="B379" s="36"/>
      <x:c r="C379" s="38"/>
      <x:c r="D379" s="38"/>
      <x:c r="E379" s="36" t="str">
        <x:f>IF(OR(A379="",B379="",C379="",D379=""),"",A379&amp;"-"&amp;B379&amp;"-"&amp;TEXT(C379,"0000")&amp;"-"&amp;TEXT(D379,"0000"))</x:f>
      </x:c>
      <x:c r="F379" s="36" t="str">
        <x:v>R0</x:v>
      </x:c>
      <x:c r="G379" s="40"/>
      <x:c r="H379" s="40"/>
      <x:c r="I379" s="36"/>
      <x:c r="J379" s="36"/>
      <x:c r="K379" s="36"/>
      <x:c r="L379" s="44"/>
      <x:c r="M379" s="36" t="str">
        <x:v>MYR</x:v>
      </x:c>
      <x:c r="N379" s="36"/>
      <x:c r="O379" s="36"/>
      <x:c r="P379" s="40"/>
      <x:c r="Q379" s="36" t="str">
        <x:f>IF(P379="","",P379-TODAY())</x:f>
      </x:c>
      <x:c r="R379" s="36" t="str">
        <x:f>IF(E379="","",IF(X379="DUPLICATE","STOP — DUPLICATE",IF(OR(N379="Completed",N379="Cancelled",N379="Rejected",N379="Superseded"),"Closed",IF(P379="","No due date",IF(Q379&lt;0,"OVERDUE",IF(Q379&lt;=7,"DUE SOON","Open"))))))</x:f>
      </x:c>
      <x:c r="S379" s="36"/>
      <x:c r="T379" s="36"/>
      <x:c r="U379" s="36"/>
      <x:c r="V379" s="42"/>
      <x:c r="W379" s="36"/>
      <x:c r="X379" s="36" t="str">
        <x:f>IF(E379="","",IF(COUNTIF($E$7:$E$506,E379)&gt;1,"DUPLICATE","OK"))</x:f>
      </x:c>
    </x:row>
    <x:row r="380">
      <x:c r="A380" s="36" t="str">
        <x:v>NEX</x:v>
      </x:c>
      <x:c r="B380" s="36"/>
      <x:c r="C380" s="38"/>
      <x:c r="D380" s="38"/>
      <x:c r="E380" s="36" t="str">
        <x:f>IF(OR(A380="",B380="",C380="",D380=""),"",A380&amp;"-"&amp;B380&amp;"-"&amp;TEXT(C380,"0000")&amp;"-"&amp;TEXT(D380,"0000"))</x:f>
      </x:c>
      <x:c r="F380" s="36" t="str">
        <x:v>R0</x:v>
      </x:c>
      <x:c r="G380" s="40"/>
      <x:c r="H380" s="40"/>
      <x:c r="I380" s="36"/>
      <x:c r="J380" s="36"/>
      <x:c r="K380" s="36"/>
      <x:c r="L380" s="44"/>
      <x:c r="M380" s="36" t="str">
        <x:v>MYR</x:v>
      </x:c>
      <x:c r="N380" s="36"/>
      <x:c r="O380" s="36"/>
      <x:c r="P380" s="40"/>
      <x:c r="Q380" s="36" t="str">
        <x:f>IF(P380="","",P380-TODAY())</x:f>
      </x:c>
      <x:c r="R380" s="36" t="str">
        <x:f>IF(E380="","",IF(X380="DUPLICATE","STOP — DUPLICATE",IF(OR(N380="Completed",N380="Cancelled",N380="Rejected",N380="Superseded"),"Closed",IF(P380="","No due date",IF(Q380&lt;0,"OVERDUE",IF(Q380&lt;=7,"DUE SOON","Open"))))))</x:f>
      </x:c>
      <x:c r="S380" s="36"/>
      <x:c r="T380" s="36"/>
      <x:c r="U380" s="36"/>
      <x:c r="V380" s="42"/>
      <x:c r="W380" s="36"/>
      <x:c r="X380" s="36" t="str">
        <x:f>IF(E380="","",IF(COUNTIF($E$7:$E$506,E380)&gt;1,"DUPLICATE","OK"))</x:f>
      </x:c>
    </x:row>
    <x:row r="381">
      <x:c r="A381" s="36" t="str">
        <x:v>NEX</x:v>
      </x:c>
      <x:c r="B381" s="36"/>
      <x:c r="C381" s="38"/>
      <x:c r="D381" s="38"/>
      <x:c r="E381" s="36" t="str">
        <x:f>IF(OR(A381="",B381="",C381="",D381=""),"",A381&amp;"-"&amp;B381&amp;"-"&amp;TEXT(C381,"0000")&amp;"-"&amp;TEXT(D381,"0000"))</x:f>
      </x:c>
      <x:c r="F381" s="36" t="str">
        <x:v>R0</x:v>
      </x:c>
      <x:c r="G381" s="40"/>
      <x:c r="H381" s="40"/>
      <x:c r="I381" s="36"/>
      <x:c r="J381" s="36"/>
      <x:c r="K381" s="36"/>
      <x:c r="L381" s="44"/>
      <x:c r="M381" s="36" t="str">
        <x:v>MYR</x:v>
      </x:c>
      <x:c r="N381" s="36"/>
      <x:c r="O381" s="36"/>
      <x:c r="P381" s="40"/>
      <x:c r="Q381" s="36" t="str">
        <x:f>IF(P381="","",P381-TODAY())</x:f>
      </x:c>
      <x:c r="R381" s="36" t="str">
        <x:f>IF(E381="","",IF(X381="DUPLICATE","STOP — DUPLICATE",IF(OR(N381="Completed",N381="Cancelled",N381="Rejected",N381="Superseded"),"Closed",IF(P381="","No due date",IF(Q381&lt;0,"OVERDUE",IF(Q381&lt;=7,"DUE SOON","Open"))))))</x:f>
      </x:c>
      <x:c r="S381" s="36"/>
      <x:c r="T381" s="36"/>
      <x:c r="U381" s="36"/>
      <x:c r="V381" s="42"/>
      <x:c r="W381" s="36"/>
      <x:c r="X381" s="36" t="str">
        <x:f>IF(E381="","",IF(COUNTIF($E$7:$E$506,E381)&gt;1,"DUPLICATE","OK"))</x:f>
      </x:c>
    </x:row>
    <x:row r="382">
      <x:c r="A382" s="36" t="str">
        <x:v>NEX</x:v>
      </x:c>
      <x:c r="B382" s="36"/>
      <x:c r="C382" s="38"/>
      <x:c r="D382" s="38"/>
      <x:c r="E382" s="36" t="str">
        <x:f>IF(OR(A382="",B382="",C382="",D382=""),"",A382&amp;"-"&amp;B382&amp;"-"&amp;TEXT(C382,"0000")&amp;"-"&amp;TEXT(D382,"0000"))</x:f>
      </x:c>
      <x:c r="F382" s="36" t="str">
        <x:v>R0</x:v>
      </x:c>
      <x:c r="G382" s="40"/>
      <x:c r="H382" s="40"/>
      <x:c r="I382" s="36"/>
      <x:c r="J382" s="36"/>
      <x:c r="K382" s="36"/>
      <x:c r="L382" s="44"/>
      <x:c r="M382" s="36" t="str">
        <x:v>MYR</x:v>
      </x:c>
      <x:c r="N382" s="36"/>
      <x:c r="O382" s="36"/>
      <x:c r="P382" s="40"/>
      <x:c r="Q382" s="36" t="str">
        <x:f>IF(P382="","",P382-TODAY())</x:f>
      </x:c>
      <x:c r="R382" s="36" t="str">
        <x:f>IF(E382="","",IF(X382="DUPLICATE","STOP — DUPLICATE",IF(OR(N382="Completed",N382="Cancelled",N382="Rejected",N382="Superseded"),"Closed",IF(P382="","No due date",IF(Q382&lt;0,"OVERDUE",IF(Q382&lt;=7,"DUE SOON","Open"))))))</x:f>
      </x:c>
      <x:c r="S382" s="36"/>
      <x:c r="T382" s="36"/>
      <x:c r="U382" s="36"/>
      <x:c r="V382" s="42"/>
      <x:c r="W382" s="36"/>
      <x:c r="X382" s="36" t="str">
        <x:f>IF(E382="","",IF(COUNTIF($E$7:$E$506,E382)&gt;1,"DUPLICATE","OK"))</x:f>
      </x:c>
    </x:row>
    <x:row r="383">
      <x:c r="A383" s="36" t="str">
        <x:v>NEX</x:v>
      </x:c>
      <x:c r="B383" s="36"/>
      <x:c r="C383" s="38"/>
      <x:c r="D383" s="38"/>
      <x:c r="E383" s="36" t="str">
        <x:f>IF(OR(A383="",B383="",C383="",D383=""),"",A383&amp;"-"&amp;B383&amp;"-"&amp;TEXT(C383,"0000")&amp;"-"&amp;TEXT(D383,"0000"))</x:f>
      </x:c>
      <x:c r="F383" s="36" t="str">
        <x:v>R0</x:v>
      </x:c>
      <x:c r="G383" s="40"/>
      <x:c r="H383" s="40"/>
      <x:c r="I383" s="36"/>
      <x:c r="J383" s="36"/>
      <x:c r="K383" s="36"/>
      <x:c r="L383" s="44"/>
      <x:c r="M383" s="36" t="str">
        <x:v>MYR</x:v>
      </x:c>
      <x:c r="N383" s="36"/>
      <x:c r="O383" s="36"/>
      <x:c r="P383" s="40"/>
      <x:c r="Q383" s="36" t="str">
        <x:f>IF(P383="","",P383-TODAY())</x:f>
      </x:c>
      <x:c r="R383" s="36" t="str">
        <x:f>IF(E383="","",IF(X383="DUPLICATE","STOP — DUPLICATE",IF(OR(N383="Completed",N383="Cancelled",N383="Rejected",N383="Superseded"),"Closed",IF(P383="","No due date",IF(Q383&lt;0,"OVERDUE",IF(Q383&lt;=7,"DUE SOON","Open"))))))</x:f>
      </x:c>
      <x:c r="S383" s="36"/>
      <x:c r="T383" s="36"/>
      <x:c r="U383" s="36"/>
      <x:c r="V383" s="42"/>
      <x:c r="W383" s="36"/>
      <x:c r="X383" s="36" t="str">
        <x:f>IF(E383="","",IF(COUNTIF($E$7:$E$506,E383)&gt;1,"DUPLICATE","OK"))</x:f>
      </x:c>
    </x:row>
    <x:row r="384">
      <x:c r="A384" s="36" t="str">
        <x:v>NEX</x:v>
      </x:c>
      <x:c r="B384" s="36"/>
      <x:c r="C384" s="38"/>
      <x:c r="D384" s="38"/>
      <x:c r="E384" s="36" t="str">
        <x:f>IF(OR(A384="",B384="",C384="",D384=""),"",A384&amp;"-"&amp;B384&amp;"-"&amp;TEXT(C384,"0000")&amp;"-"&amp;TEXT(D384,"0000"))</x:f>
      </x:c>
      <x:c r="F384" s="36" t="str">
        <x:v>R0</x:v>
      </x:c>
      <x:c r="G384" s="40"/>
      <x:c r="H384" s="40"/>
      <x:c r="I384" s="36"/>
      <x:c r="J384" s="36"/>
      <x:c r="K384" s="36"/>
      <x:c r="L384" s="44"/>
      <x:c r="M384" s="36" t="str">
        <x:v>MYR</x:v>
      </x:c>
      <x:c r="N384" s="36"/>
      <x:c r="O384" s="36"/>
      <x:c r="P384" s="40"/>
      <x:c r="Q384" s="36" t="str">
        <x:f>IF(P384="","",P384-TODAY())</x:f>
      </x:c>
      <x:c r="R384" s="36" t="str">
        <x:f>IF(E384="","",IF(X384="DUPLICATE","STOP — DUPLICATE",IF(OR(N384="Completed",N384="Cancelled",N384="Rejected",N384="Superseded"),"Closed",IF(P384="","No due date",IF(Q384&lt;0,"OVERDUE",IF(Q384&lt;=7,"DUE SOON","Open"))))))</x:f>
      </x:c>
      <x:c r="S384" s="36"/>
      <x:c r="T384" s="36"/>
      <x:c r="U384" s="36"/>
      <x:c r="V384" s="42"/>
      <x:c r="W384" s="36"/>
      <x:c r="X384" s="36" t="str">
        <x:f>IF(E384="","",IF(COUNTIF($E$7:$E$506,E384)&gt;1,"DUPLICATE","OK"))</x:f>
      </x:c>
    </x:row>
    <x:row r="385">
      <x:c r="A385" s="36" t="str">
        <x:v>NEX</x:v>
      </x:c>
      <x:c r="B385" s="36"/>
      <x:c r="C385" s="38"/>
      <x:c r="D385" s="38"/>
      <x:c r="E385" s="36" t="str">
        <x:f>IF(OR(A385="",B385="",C385="",D385=""),"",A385&amp;"-"&amp;B385&amp;"-"&amp;TEXT(C385,"0000")&amp;"-"&amp;TEXT(D385,"0000"))</x:f>
      </x:c>
      <x:c r="F385" s="36" t="str">
        <x:v>R0</x:v>
      </x:c>
      <x:c r="G385" s="40"/>
      <x:c r="H385" s="40"/>
      <x:c r="I385" s="36"/>
      <x:c r="J385" s="36"/>
      <x:c r="K385" s="36"/>
      <x:c r="L385" s="44"/>
      <x:c r="M385" s="36" t="str">
        <x:v>MYR</x:v>
      </x:c>
      <x:c r="N385" s="36"/>
      <x:c r="O385" s="36"/>
      <x:c r="P385" s="40"/>
      <x:c r="Q385" s="36" t="str">
        <x:f>IF(P385="","",P385-TODAY())</x:f>
      </x:c>
      <x:c r="R385" s="36" t="str">
        <x:f>IF(E385="","",IF(X385="DUPLICATE","STOP — DUPLICATE",IF(OR(N385="Completed",N385="Cancelled",N385="Rejected",N385="Superseded"),"Closed",IF(P385="","No due date",IF(Q385&lt;0,"OVERDUE",IF(Q385&lt;=7,"DUE SOON","Open"))))))</x:f>
      </x:c>
      <x:c r="S385" s="36"/>
      <x:c r="T385" s="36"/>
      <x:c r="U385" s="36"/>
      <x:c r="V385" s="42"/>
      <x:c r="W385" s="36"/>
      <x:c r="X385" s="36" t="str">
        <x:f>IF(E385="","",IF(COUNTIF($E$7:$E$506,E385)&gt;1,"DUPLICATE","OK"))</x:f>
      </x:c>
    </x:row>
    <x:row r="386">
      <x:c r="A386" s="36" t="str">
        <x:v>NEX</x:v>
      </x:c>
      <x:c r="B386" s="36"/>
      <x:c r="C386" s="38"/>
      <x:c r="D386" s="38"/>
      <x:c r="E386" s="36" t="str">
        <x:f>IF(OR(A386="",B386="",C386="",D386=""),"",A386&amp;"-"&amp;B386&amp;"-"&amp;TEXT(C386,"0000")&amp;"-"&amp;TEXT(D386,"0000"))</x:f>
      </x:c>
      <x:c r="F386" s="36" t="str">
        <x:v>R0</x:v>
      </x:c>
      <x:c r="G386" s="40"/>
      <x:c r="H386" s="40"/>
      <x:c r="I386" s="36"/>
      <x:c r="J386" s="36"/>
      <x:c r="K386" s="36"/>
      <x:c r="L386" s="44"/>
      <x:c r="M386" s="36" t="str">
        <x:v>MYR</x:v>
      </x:c>
      <x:c r="N386" s="36"/>
      <x:c r="O386" s="36"/>
      <x:c r="P386" s="40"/>
      <x:c r="Q386" s="36" t="str">
        <x:f>IF(P386="","",P386-TODAY())</x:f>
      </x:c>
      <x:c r="R386" s="36" t="str">
        <x:f>IF(E386="","",IF(X386="DUPLICATE","STOP — DUPLICATE",IF(OR(N386="Completed",N386="Cancelled",N386="Rejected",N386="Superseded"),"Closed",IF(P386="","No due date",IF(Q386&lt;0,"OVERDUE",IF(Q386&lt;=7,"DUE SOON","Open"))))))</x:f>
      </x:c>
      <x:c r="S386" s="36"/>
      <x:c r="T386" s="36"/>
      <x:c r="U386" s="36"/>
      <x:c r="V386" s="42"/>
      <x:c r="W386" s="36"/>
      <x:c r="X386" s="36" t="str">
        <x:f>IF(E386="","",IF(COUNTIF($E$7:$E$506,E386)&gt;1,"DUPLICATE","OK"))</x:f>
      </x:c>
    </x:row>
    <x:row r="387">
      <x:c r="A387" s="36" t="str">
        <x:v>NEX</x:v>
      </x:c>
      <x:c r="B387" s="36"/>
      <x:c r="C387" s="38"/>
      <x:c r="D387" s="38"/>
      <x:c r="E387" s="36" t="str">
        <x:f>IF(OR(A387="",B387="",C387="",D387=""),"",A387&amp;"-"&amp;B387&amp;"-"&amp;TEXT(C387,"0000")&amp;"-"&amp;TEXT(D387,"0000"))</x:f>
      </x:c>
      <x:c r="F387" s="36" t="str">
        <x:v>R0</x:v>
      </x:c>
      <x:c r="G387" s="40"/>
      <x:c r="H387" s="40"/>
      <x:c r="I387" s="36"/>
      <x:c r="J387" s="36"/>
      <x:c r="K387" s="36"/>
      <x:c r="L387" s="44"/>
      <x:c r="M387" s="36" t="str">
        <x:v>MYR</x:v>
      </x:c>
      <x:c r="N387" s="36"/>
      <x:c r="O387" s="36"/>
      <x:c r="P387" s="40"/>
      <x:c r="Q387" s="36" t="str">
        <x:f>IF(P387="","",P387-TODAY())</x:f>
      </x:c>
      <x:c r="R387" s="36" t="str">
        <x:f>IF(E387="","",IF(X387="DUPLICATE","STOP — DUPLICATE",IF(OR(N387="Completed",N387="Cancelled",N387="Rejected",N387="Superseded"),"Closed",IF(P387="","No due date",IF(Q387&lt;0,"OVERDUE",IF(Q387&lt;=7,"DUE SOON","Open"))))))</x:f>
      </x:c>
      <x:c r="S387" s="36"/>
      <x:c r="T387" s="36"/>
      <x:c r="U387" s="36"/>
      <x:c r="V387" s="42"/>
      <x:c r="W387" s="36"/>
      <x:c r="X387" s="36" t="str">
        <x:f>IF(E387="","",IF(COUNTIF($E$7:$E$506,E387)&gt;1,"DUPLICATE","OK"))</x:f>
      </x:c>
    </x:row>
    <x:row r="388">
      <x:c r="A388" s="36" t="str">
        <x:v>NEX</x:v>
      </x:c>
      <x:c r="B388" s="36"/>
      <x:c r="C388" s="38"/>
      <x:c r="D388" s="38"/>
      <x:c r="E388" s="36" t="str">
        <x:f>IF(OR(A388="",B388="",C388="",D388=""),"",A388&amp;"-"&amp;B388&amp;"-"&amp;TEXT(C388,"0000")&amp;"-"&amp;TEXT(D388,"0000"))</x:f>
      </x:c>
      <x:c r="F388" s="36" t="str">
        <x:v>R0</x:v>
      </x:c>
      <x:c r="G388" s="40"/>
      <x:c r="H388" s="40"/>
      <x:c r="I388" s="36"/>
      <x:c r="J388" s="36"/>
      <x:c r="K388" s="36"/>
      <x:c r="L388" s="44"/>
      <x:c r="M388" s="36" t="str">
        <x:v>MYR</x:v>
      </x:c>
      <x:c r="N388" s="36"/>
      <x:c r="O388" s="36"/>
      <x:c r="P388" s="40"/>
      <x:c r="Q388" s="36" t="str">
        <x:f>IF(P388="","",P388-TODAY())</x:f>
      </x:c>
      <x:c r="R388" s="36" t="str">
        <x:f>IF(E388="","",IF(X388="DUPLICATE","STOP — DUPLICATE",IF(OR(N388="Completed",N388="Cancelled",N388="Rejected",N388="Superseded"),"Closed",IF(P388="","No due date",IF(Q388&lt;0,"OVERDUE",IF(Q388&lt;=7,"DUE SOON","Open"))))))</x:f>
      </x:c>
      <x:c r="S388" s="36"/>
      <x:c r="T388" s="36"/>
      <x:c r="U388" s="36"/>
      <x:c r="V388" s="42"/>
      <x:c r="W388" s="36"/>
      <x:c r="X388" s="36" t="str">
        <x:f>IF(E388="","",IF(COUNTIF($E$7:$E$506,E388)&gt;1,"DUPLICATE","OK"))</x:f>
      </x:c>
    </x:row>
    <x:row r="389">
      <x:c r="A389" s="36" t="str">
        <x:v>NEX</x:v>
      </x:c>
      <x:c r="B389" s="36"/>
      <x:c r="C389" s="38"/>
      <x:c r="D389" s="38"/>
      <x:c r="E389" s="36" t="str">
        <x:f>IF(OR(A389="",B389="",C389="",D389=""),"",A389&amp;"-"&amp;B389&amp;"-"&amp;TEXT(C389,"0000")&amp;"-"&amp;TEXT(D389,"0000"))</x:f>
      </x:c>
      <x:c r="F389" s="36" t="str">
        <x:v>R0</x:v>
      </x:c>
      <x:c r="G389" s="40"/>
      <x:c r="H389" s="40"/>
      <x:c r="I389" s="36"/>
      <x:c r="J389" s="36"/>
      <x:c r="K389" s="36"/>
      <x:c r="L389" s="44"/>
      <x:c r="M389" s="36" t="str">
        <x:v>MYR</x:v>
      </x:c>
      <x:c r="N389" s="36"/>
      <x:c r="O389" s="36"/>
      <x:c r="P389" s="40"/>
      <x:c r="Q389" s="36" t="str">
        <x:f>IF(P389="","",P389-TODAY())</x:f>
      </x:c>
      <x:c r="R389" s="36" t="str">
        <x:f>IF(E389="","",IF(X389="DUPLICATE","STOP — DUPLICATE",IF(OR(N389="Completed",N389="Cancelled",N389="Rejected",N389="Superseded"),"Closed",IF(P389="","No due date",IF(Q389&lt;0,"OVERDUE",IF(Q389&lt;=7,"DUE SOON","Open"))))))</x:f>
      </x:c>
      <x:c r="S389" s="36"/>
      <x:c r="T389" s="36"/>
      <x:c r="U389" s="36"/>
      <x:c r="V389" s="42"/>
      <x:c r="W389" s="36"/>
      <x:c r="X389" s="36" t="str">
        <x:f>IF(E389="","",IF(COUNTIF($E$7:$E$506,E389)&gt;1,"DUPLICATE","OK"))</x:f>
      </x:c>
    </x:row>
    <x:row r="390">
      <x:c r="A390" s="36" t="str">
        <x:v>NEX</x:v>
      </x:c>
      <x:c r="B390" s="36"/>
      <x:c r="C390" s="38"/>
      <x:c r="D390" s="38"/>
      <x:c r="E390" s="36" t="str">
        <x:f>IF(OR(A390="",B390="",C390="",D390=""),"",A390&amp;"-"&amp;B390&amp;"-"&amp;TEXT(C390,"0000")&amp;"-"&amp;TEXT(D390,"0000"))</x:f>
      </x:c>
      <x:c r="F390" s="36" t="str">
        <x:v>R0</x:v>
      </x:c>
      <x:c r="G390" s="40"/>
      <x:c r="H390" s="40"/>
      <x:c r="I390" s="36"/>
      <x:c r="J390" s="36"/>
      <x:c r="K390" s="36"/>
      <x:c r="L390" s="44"/>
      <x:c r="M390" s="36" t="str">
        <x:v>MYR</x:v>
      </x:c>
      <x:c r="N390" s="36"/>
      <x:c r="O390" s="36"/>
      <x:c r="P390" s="40"/>
      <x:c r="Q390" s="36" t="str">
        <x:f>IF(P390="","",P390-TODAY())</x:f>
      </x:c>
      <x:c r="R390" s="36" t="str">
        <x:f>IF(E390="","",IF(X390="DUPLICATE","STOP — DUPLICATE",IF(OR(N390="Completed",N390="Cancelled",N390="Rejected",N390="Superseded"),"Closed",IF(P390="","No due date",IF(Q390&lt;0,"OVERDUE",IF(Q390&lt;=7,"DUE SOON","Open"))))))</x:f>
      </x:c>
      <x:c r="S390" s="36"/>
      <x:c r="T390" s="36"/>
      <x:c r="U390" s="36"/>
      <x:c r="V390" s="42"/>
      <x:c r="W390" s="36"/>
      <x:c r="X390" s="36" t="str">
        <x:f>IF(E390="","",IF(COUNTIF($E$7:$E$506,E390)&gt;1,"DUPLICATE","OK"))</x:f>
      </x:c>
    </x:row>
    <x:row r="391">
      <x:c r="A391" s="36" t="str">
        <x:v>NEX</x:v>
      </x:c>
      <x:c r="B391" s="36"/>
      <x:c r="C391" s="38"/>
      <x:c r="D391" s="38"/>
      <x:c r="E391" s="36" t="str">
        <x:f>IF(OR(A391="",B391="",C391="",D391=""),"",A391&amp;"-"&amp;B391&amp;"-"&amp;TEXT(C391,"0000")&amp;"-"&amp;TEXT(D391,"0000"))</x:f>
      </x:c>
      <x:c r="F391" s="36" t="str">
        <x:v>R0</x:v>
      </x:c>
      <x:c r="G391" s="40"/>
      <x:c r="H391" s="40"/>
      <x:c r="I391" s="36"/>
      <x:c r="J391" s="36"/>
      <x:c r="K391" s="36"/>
      <x:c r="L391" s="44"/>
      <x:c r="M391" s="36" t="str">
        <x:v>MYR</x:v>
      </x:c>
      <x:c r="N391" s="36"/>
      <x:c r="O391" s="36"/>
      <x:c r="P391" s="40"/>
      <x:c r="Q391" s="36" t="str">
        <x:f>IF(P391="","",P391-TODAY())</x:f>
      </x:c>
      <x:c r="R391" s="36" t="str">
        <x:f>IF(E391="","",IF(X391="DUPLICATE","STOP — DUPLICATE",IF(OR(N391="Completed",N391="Cancelled",N391="Rejected",N391="Superseded"),"Closed",IF(P391="","No due date",IF(Q391&lt;0,"OVERDUE",IF(Q391&lt;=7,"DUE SOON","Open"))))))</x:f>
      </x:c>
      <x:c r="S391" s="36"/>
      <x:c r="T391" s="36"/>
      <x:c r="U391" s="36"/>
      <x:c r="V391" s="42"/>
      <x:c r="W391" s="36"/>
      <x:c r="X391" s="36" t="str">
        <x:f>IF(E391="","",IF(COUNTIF($E$7:$E$506,E391)&gt;1,"DUPLICATE","OK"))</x:f>
      </x:c>
    </x:row>
    <x:row r="392">
      <x:c r="A392" s="36" t="str">
        <x:v>NEX</x:v>
      </x:c>
      <x:c r="B392" s="36"/>
      <x:c r="C392" s="38"/>
      <x:c r="D392" s="38"/>
      <x:c r="E392" s="36" t="str">
        <x:f>IF(OR(A392="",B392="",C392="",D392=""),"",A392&amp;"-"&amp;B392&amp;"-"&amp;TEXT(C392,"0000")&amp;"-"&amp;TEXT(D392,"0000"))</x:f>
      </x:c>
      <x:c r="F392" s="36" t="str">
        <x:v>R0</x:v>
      </x:c>
      <x:c r="G392" s="40"/>
      <x:c r="H392" s="40"/>
      <x:c r="I392" s="36"/>
      <x:c r="J392" s="36"/>
      <x:c r="K392" s="36"/>
      <x:c r="L392" s="44"/>
      <x:c r="M392" s="36" t="str">
        <x:v>MYR</x:v>
      </x:c>
      <x:c r="N392" s="36"/>
      <x:c r="O392" s="36"/>
      <x:c r="P392" s="40"/>
      <x:c r="Q392" s="36" t="str">
        <x:f>IF(P392="","",P392-TODAY())</x:f>
      </x:c>
      <x:c r="R392" s="36" t="str">
        <x:f>IF(E392="","",IF(X392="DUPLICATE","STOP — DUPLICATE",IF(OR(N392="Completed",N392="Cancelled",N392="Rejected",N392="Superseded"),"Closed",IF(P392="","No due date",IF(Q392&lt;0,"OVERDUE",IF(Q392&lt;=7,"DUE SOON","Open"))))))</x:f>
      </x:c>
      <x:c r="S392" s="36"/>
      <x:c r="T392" s="36"/>
      <x:c r="U392" s="36"/>
      <x:c r="V392" s="42"/>
      <x:c r="W392" s="36"/>
      <x:c r="X392" s="36" t="str">
        <x:f>IF(E392="","",IF(COUNTIF($E$7:$E$506,E392)&gt;1,"DUPLICATE","OK"))</x:f>
      </x:c>
    </x:row>
    <x:row r="393">
      <x:c r="A393" s="36" t="str">
        <x:v>NEX</x:v>
      </x:c>
      <x:c r="B393" s="36"/>
      <x:c r="C393" s="38"/>
      <x:c r="D393" s="38"/>
      <x:c r="E393" s="36" t="str">
        <x:f>IF(OR(A393="",B393="",C393="",D393=""),"",A393&amp;"-"&amp;B393&amp;"-"&amp;TEXT(C393,"0000")&amp;"-"&amp;TEXT(D393,"0000"))</x:f>
      </x:c>
      <x:c r="F393" s="36" t="str">
        <x:v>R0</x:v>
      </x:c>
      <x:c r="G393" s="40"/>
      <x:c r="H393" s="40"/>
      <x:c r="I393" s="36"/>
      <x:c r="J393" s="36"/>
      <x:c r="K393" s="36"/>
      <x:c r="L393" s="44"/>
      <x:c r="M393" s="36" t="str">
        <x:v>MYR</x:v>
      </x:c>
      <x:c r="N393" s="36"/>
      <x:c r="O393" s="36"/>
      <x:c r="P393" s="40"/>
      <x:c r="Q393" s="36" t="str">
        <x:f>IF(P393="","",P393-TODAY())</x:f>
      </x:c>
      <x:c r="R393" s="36" t="str">
        <x:f>IF(E393="","",IF(X393="DUPLICATE","STOP — DUPLICATE",IF(OR(N393="Completed",N393="Cancelled",N393="Rejected",N393="Superseded"),"Closed",IF(P393="","No due date",IF(Q393&lt;0,"OVERDUE",IF(Q393&lt;=7,"DUE SOON","Open"))))))</x:f>
      </x:c>
      <x:c r="S393" s="36"/>
      <x:c r="T393" s="36"/>
      <x:c r="U393" s="36"/>
      <x:c r="V393" s="42"/>
      <x:c r="W393" s="36"/>
      <x:c r="X393" s="36" t="str">
        <x:f>IF(E393="","",IF(COUNTIF($E$7:$E$506,E393)&gt;1,"DUPLICATE","OK"))</x:f>
      </x:c>
    </x:row>
    <x:row r="394">
      <x:c r="A394" s="36" t="str">
        <x:v>NEX</x:v>
      </x:c>
      <x:c r="B394" s="36"/>
      <x:c r="C394" s="38"/>
      <x:c r="D394" s="38"/>
      <x:c r="E394" s="36" t="str">
        <x:f>IF(OR(A394="",B394="",C394="",D394=""),"",A394&amp;"-"&amp;B394&amp;"-"&amp;TEXT(C394,"0000")&amp;"-"&amp;TEXT(D394,"0000"))</x:f>
      </x:c>
      <x:c r="F394" s="36" t="str">
        <x:v>R0</x:v>
      </x:c>
      <x:c r="G394" s="40"/>
      <x:c r="H394" s="40"/>
      <x:c r="I394" s="36"/>
      <x:c r="J394" s="36"/>
      <x:c r="K394" s="36"/>
      <x:c r="L394" s="44"/>
      <x:c r="M394" s="36" t="str">
        <x:v>MYR</x:v>
      </x:c>
      <x:c r="N394" s="36"/>
      <x:c r="O394" s="36"/>
      <x:c r="P394" s="40"/>
      <x:c r="Q394" s="36" t="str">
        <x:f>IF(P394="","",P394-TODAY())</x:f>
      </x:c>
      <x:c r="R394" s="36" t="str">
        <x:f>IF(E394="","",IF(X394="DUPLICATE","STOP — DUPLICATE",IF(OR(N394="Completed",N394="Cancelled",N394="Rejected",N394="Superseded"),"Closed",IF(P394="","No due date",IF(Q394&lt;0,"OVERDUE",IF(Q394&lt;=7,"DUE SOON","Open"))))))</x:f>
      </x:c>
      <x:c r="S394" s="36"/>
      <x:c r="T394" s="36"/>
      <x:c r="U394" s="36"/>
      <x:c r="V394" s="42"/>
      <x:c r="W394" s="36"/>
      <x:c r="X394" s="36" t="str">
        <x:f>IF(E394="","",IF(COUNTIF($E$7:$E$506,E394)&gt;1,"DUPLICATE","OK"))</x:f>
      </x:c>
    </x:row>
    <x:row r="395">
      <x:c r="A395" s="36" t="str">
        <x:v>NEX</x:v>
      </x:c>
      <x:c r="B395" s="36"/>
      <x:c r="C395" s="38"/>
      <x:c r="D395" s="38"/>
      <x:c r="E395" s="36" t="str">
        <x:f>IF(OR(A395="",B395="",C395="",D395=""),"",A395&amp;"-"&amp;B395&amp;"-"&amp;TEXT(C395,"0000")&amp;"-"&amp;TEXT(D395,"0000"))</x:f>
      </x:c>
      <x:c r="F395" s="36" t="str">
        <x:v>R0</x:v>
      </x:c>
      <x:c r="G395" s="40"/>
      <x:c r="H395" s="40"/>
      <x:c r="I395" s="36"/>
      <x:c r="J395" s="36"/>
      <x:c r="K395" s="36"/>
      <x:c r="L395" s="44"/>
      <x:c r="M395" s="36" t="str">
        <x:v>MYR</x:v>
      </x:c>
      <x:c r="N395" s="36"/>
      <x:c r="O395" s="36"/>
      <x:c r="P395" s="40"/>
      <x:c r="Q395" s="36" t="str">
        <x:f>IF(P395="","",P395-TODAY())</x:f>
      </x:c>
      <x:c r="R395" s="36" t="str">
        <x:f>IF(E395="","",IF(X395="DUPLICATE","STOP — DUPLICATE",IF(OR(N395="Completed",N395="Cancelled",N395="Rejected",N395="Superseded"),"Closed",IF(P395="","No due date",IF(Q395&lt;0,"OVERDUE",IF(Q395&lt;=7,"DUE SOON","Open"))))))</x:f>
      </x:c>
      <x:c r="S395" s="36"/>
      <x:c r="T395" s="36"/>
      <x:c r="U395" s="36"/>
      <x:c r="V395" s="42"/>
      <x:c r="W395" s="36"/>
      <x:c r="X395" s="36" t="str">
        <x:f>IF(E395="","",IF(COUNTIF($E$7:$E$506,E395)&gt;1,"DUPLICATE","OK"))</x:f>
      </x:c>
    </x:row>
    <x:row r="396">
      <x:c r="A396" s="36" t="str">
        <x:v>NEX</x:v>
      </x:c>
      <x:c r="B396" s="36"/>
      <x:c r="C396" s="38"/>
      <x:c r="D396" s="38"/>
      <x:c r="E396" s="36" t="str">
        <x:f>IF(OR(A396="",B396="",C396="",D396=""),"",A396&amp;"-"&amp;B396&amp;"-"&amp;TEXT(C396,"0000")&amp;"-"&amp;TEXT(D396,"0000"))</x:f>
      </x:c>
      <x:c r="F396" s="36" t="str">
        <x:v>R0</x:v>
      </x:c>
      <x:c r="G396" s="40"/>
      <x:c r="H396" s="40"/>
      <x:c r="I396" s="36"/>
      <x:c r="J396" s="36"/>
      <x:c r="K396" s="36"/>
      <x:c r="L396" s="44"/>
      <x:c r="M396" s="36" t="str">
        <x:v>MYR</x:v>
      </x:c>
      <x:c r="N396" s="36"/>
      <x:c r="O396" s="36"/>
      <x:c r="P396" s="40"/>
      <x:c r="Q396" s="36" t="str">
        <x:f>IF(P396="","",P396-TODAY())</x:f>
      </x:c>
      <x:c r="R396" s="36" t="str">
        <x:f>IF(E396="","",IF(X396="DUPLICATE","STOP — DUPLICATE",IF(OR(N396="Completed",N396="Cancelled",N396="Rejected",N396="Superseded"),"Closed",IF(P396="","No due date",IF(Q396&lt;0,"OVERDUE",IF(Q396&lt;=7,"DUE SOON","Open"))))))</x:f>
      </x:c>
      <x:c r="S396" s="36"/>
      <x:c r="T396" s="36"/>
      <x:c r="U396" s="36"/>
      <x:c r="V396" s="42"/>
      <x:c r="W396" s="36"/>
      <x:c r="X396" s="36" t="str">
        <x:f>IF(E396="","",IF(COUNTIF($E$7:$E$506,E396)&gt;1,"DUPLICATE","OK"))</x:f>
      </x:c>
    </x:row>
    <x:row r="397">
      <x:c r="A397" s="36" t="str">
        <x:v>NEX</x:v>
      </x:c>
      <x:c r="B397" s="36"/>
      <x:c r="C397" s="38"/>
      <x:c r="D397" s="38"/>
      <x:c r="E397" s="36" t="str">
        <x:f>IF(OR(A397="",B397="",C397="",D397=""),"",A397&amp;"-"&amp;B397&amp;"-"&amp;TEXT(C397,"0000")&amp;"-"&amp;TEXT(D397,"0000"))</x:f>
      </x:c>
      <x:c r="F397" s="36" t="str">
        <x:v>R0</x:v>
      </x:c>
      <x:c r="G397" s="40"/>
      <x:c r="H397" s="40"/>
      <x:c r="I397" s="36"/>
      <x:c r="J397" s="36"/>
      <x:c r="K397" s="36"/>
      <x:c r="L397" s="44"/>
      <x:c r="M397" s="36" t="str">
        <x:v>MYR</x:v>
      </x:c>
      <x:c r="N397" s="36"/>
      <x:c r="O397" s="36"/>
      <x:c r="P397" s="40"/>
      <x:c r="Q397" s="36" t="str">
        <x:f>IF(P397="","",P397-TODAY())</x:f>
      </x:c>
      <x:c r="R397" s="36" t="str">
        <x:f>IF(E397="","",IF(X397="DUPLICATE","STOP — DUPLICATE",IF(OR(N397="Completed",N397="Cancelled",N397="Rejected",N397="Superseded"),"Closed",IF(P397="","No due date",IF(Q397&lt;0,"OVERDUE",IF(Q397&lt;=7,"DUE SOON","Open"))))))</x:f>
      </x:c>
      <x:c r="S397" s="36"/>
      <x:c r="T397" s="36"/>
      <x:c r="U397" s="36"/>
      <x:c r="V397" s="42"/>
      <x:c r="W397" s="36"/>
      <x:c r="X397" s="36" t="str">
        <x:f>IF(E397="","",IF(COUNTIF($E$7:$E$506,E397)&gt;1,"DUPLICATE","OK"))</x:f>
      </x:c>
    </x:row>
    <x:row r="398">
      <x:c r="A398" s="36" t="str">
        <x:v>NEX</x:v>
      </x:c>
      <x:c r="B398" s="36"/>
      <x:c r="C398" s="38"/>
      <x:c r="D398" s="38"/>
      <x:c r="E398" s="36" t="str">
        <x:f>IF(OR(A398="",B398="",C398="",D398=""),"",A398&amp;"-"&amp;B398&amp;"-"&amp;TEXT(C398,"0000")&amp;"-"&amp;TEXT(D398,"0000"))</x:f>
      </x:c>
      <x:c r="F398" s="36" t="str">
        <x:v>R0</x:v>
      </x:c>
      <x:c r="G398" s="40"/>
      <x:c r="H398" s="40"/>
      <x:c r="I398" s="36"/>
      <x:c r="J398" s="36"/>
      <x:c r="K398" s="36"/>
      <x:c r="L398" s="44"/>
      <x:c r="M398" s="36" t="str">
        <x:v>MYR</x:v>
      </x:c>
      <x:c r="N398" s="36"/>
      <x:c r="O398" s="36"/>
      <x:c r="P398" s="40"/>
      <x:c r="Q398" s="36" t="str">
        <x:f>IF(P398="","",P398-TODAY())</x:f>
      </x:c>
      <x:c r="R398" s="36" t="str">
        <x:f>IF(E398="","",IF(X398="DUPLICATE","STOP — DUPLICATE",IF(OR(N398="Completed",N398="Cancelled",N398="Rejected",N398="Superseded"),"Closed",IF(P398="","No due date",IF(Q398&lt;0,"OVERDUE",IF(Q398&lt;=7,"DUE SOON","Open"))))))</x:f>
      </x:c>
      <x:c r="S398" s="36"/>
      <x:c r="T398" s="36"/>
      <x:c r="U398" s="36"/>
      <x:c r="V398" s="42"/>
      <x:c r="W398" s="36"/>
      <x:c r="X398" s="36" t="str">
        <x:f>IF(E398="","",IF(COUNTIF($E$7:$E$506,E398)&gt;1,"DUPLICATE","OK"))</x:f>
      </x:c>
    </x:row>
    <x:row r="399">
      <x:c r="A399" s="36" t="str">
        <x:v>NEX</x:v>
      </x:c>
      <x:c r="B399" s="36"/>
      <x:c r="C399" s="38"/>
      <x:c r="D399" s="38"/>
      <x:c r="E399" s="36" t="str">
        <x:f>IF(OR(A399="",B399="",C399="",D399=""),"",A399&amp;"-"&amp;B399&amp;"-"&amp;TEXT(C399,"0000")&amp;"-"&amp;TEXT(D399,"0000"))</x:f>
      </x:c>
      <x:c r="F399" s="36" t="str">
        <x:v>R0</x:v>
      </x:c>
      <x:c r="G399" s="40"/>
      <x:c r="H399" s="40"/>
      <x:c r="I399" s="36"/>
      <x:c r="J399" s="36"/>
      <x:c r="K399" s="36"/>
      <x:c r="L399" s="44"/>
      <x:c r="M399" s="36" t="str">
        <x:v>MYR</x:v>
      </x:c>
      <x:c r="N399" s="36"/>
      <x:c r="O399" s="36"/>
      <x:c r="P399" s="40"/>
      <x:c r="Q399" s="36" t="str">
        <x:f>IF(P399="","",P399-TODAY())</x:f>
      </x:c>
      <x:c r="R399" s="36" t="str">
        <x:f>IF(E399="","",IF(X399="DUPLICATE","STOP — DUPLICATE",IF(OR(N399="Completed",N399="Cancelled",N399="Rejected",N399="Superseded"),"Closed",IF(P399="","No due date",IF(Q399&lt;0,"OVERDUE",IF(Q399&lt;=7,"DUE SOON","Open"))))))</x:f>
      </x:c>
      <x:c r="S399" s="36"/>
      <x:c r="T399" s="36"/>
      <x:c r="U399" s="36"/>
      <x:c r="V399" s="42"/>
      <x:c r="W399" s="36"/>
      <x:c r="X399" s="36" t="str">
        <x:f>IF(E399="","",IF(COUNTIF($E$7:$E$506,E399)&gt;1,"DUPLICATE","OK"))</x:f>
      </x:c>
    </x:row>
    <x:row r="400">
      <x:c r="A400" s="36" t="str">
        <x:v>NEX</x:v>
      </x:c>
      <x:c r="B400" s="36"/>
      <x:c r="C400" s="38"/>
      <x:c r="D400" s="38"/>
      <x:c r="E400" s="36" t="str">
        <x:f>IF(OR(A400="",B400="",C400="",D400=""),"",A400&amp;"-"&amp;B400&amp;"-"&amp;TEXT(C400,"0000")&amp;"-"&amp;TEXT(D400,"0000"))</x:f>
      </x:c>
      <x:c r="F400" s="36" t="str">
        <x:v>R0</x:v>
      </x:c>
      <x:c r="G400" s="40"/>
      <x:c r="H400" s="40"/>
      <x:c r="I400" s="36"/>
      <x:c r="J400" s="36"/>
      <x:c r="K400" s="36"/>
      <x:c r="L400" s="44"/>
      <x:c r="M400" s="36" t="str">
        <x:v>MYR</x:v>
      </x:c>
      <x:c r="N400" s="36"/>
      <x:c r="O400" s="36"/>
      <x:c r="P400" s="40"/>
      <x:c r="Q400" s="36" t="str">
        <x:f>IF(P400="","",P400-TODAY())</x:f>
      </x:c>
      <x:c r="R400" s="36" t="str">
        <x:f>IF(E400="","",IF(X400="DUPLICATE","STOP — DUPLICATE",IF(OR(N400="Completed",N400="Cancelled",N400="Rejected",N400="Superseded"),"Closed",IF(P400="","No due date",IF(Q400&lt;0,"OVERDUE",IF(Q400&lt;=7,"DUE SOON","Open"))))))</x:f>
      </x:c>
      <x:c r="S400" s="36"/>
      <x:c r="T400" s="36"/>
      <x:c r="U400" s="36"/>
      <x:c r="V400" s="42"/>
      <x:c r="W400" s="36"/>
      <x:c r="X400" s="36" t="str">
        <x:f>IF(E400="","",IF(COUNTIF($E$7:$E$506,E400)&gt;1,"DUPLICATE","OK"))</x:f>
      </x:c>
    </x:row>
    <x:row r="401">
      <x:c r="A401" s="36" t="str">
        <x:v>NEX</x:v>
      </x:c>
      <x:c r="B401" s="36"/>
      <x:c r="C401" s="38"/>
      <x:c r="D401" s="38"/>
      <x:c r="E401" s="36" t="str">
        <x:f>IF(OR(A401="",B401="",C401="",D401=""),"",A401&amp;"-"&amp;B401&amp;"-"&amp;TEXT(C401,"0000")&amp;"-"&amp;TEXT(D401,"0000"))</x:f>
      </x:c>
      <x:c r="F401" s="36" t="str">
        <x:v>R0</x:v>
      </x:c>
      <x:c r="G401" s="40"/>
      <x:c r="H401" s="40"/>
      <x:c r="I401" s="36"/>
      <x:c r="J401" s="36"/>
      <x:c r="K401" s="36"/>
      <x:c r="L401" s="44"/>
      <x:c r="M401" s="36" t="str">
        <x:v>MYR</x:v>
      </x:c>
      <x:c r="N401" s="36"/>
      <x:c r="O401" s="36"/>
      <x:c r="P401" s="40"/>
      <x:c r="Q401" s="36" t="str">
        <x:f>IF(P401="","",P401-TODAY())</x:f>
      </x:c>
      <x:c r="R401" s="36" t="str">
        <x:f>IF(E401="","",IF(X401="DUPLICATE","STOP — DUPLICATE",IF(OR(N401="Completed",N401="Cancelled",N401="Rejected",N401="Superseded"),"Closed",IF(P401="","No due date",IF(Q401&lt;0,"OVERDUE",IF(Q401&lt;=7,"DUE SOON","Open"))))))</x:f>
      </x:c>
      <x:c r="S401" s="36"/>
      <x:c r="T401" s="36"/>
      <x:c r="U401" s="36"/>
      <x:c r="V401" s="42"/>
      <x:c r="W401" s="36"/>
      <x:c r="X401" s="36" t="str">
        <x:f>IF(E401="","",IF(COUNTIF($E$7:$E$506,E401)&gt;1,"DUPLICATE","OK"))</x:f>
      </x:c>
    </x:row>
    <x:row r="402">
      <x:c r="A402" s="36" t="str">
        <x:v>NEX</x:v>
      </x:c>
      <x:c r="B402" s="36"/>
      <x:c r="C402" s="38"/>
      <x:c r="D402" s="38"/>
      <x:c r="E402" s="36" t="str">
        <x:f>IF(OR(A402="",B402="",C402="",D402=""),"",A402&amp;"-"&amp;B402&amp;"-"&amp;TEXT(C402,"0000")&amp;"-"&amp;TEXT(D402,"0000"))</x:f>
      </x:c>
      <x:c r="F402" s="36" t="str">
        <x:v>R0</x:v>
      </x:c>
      <x:c r="G402" s="40"/>
      <x:c r="H402" s="40"/>
      <x:c r="I402" s="36"/>
      <x:c r="J402" s="36"/>
      <x:c r="K402" s="36"/>
      <x:c r="L402" s="44"/>
      <x:c r="M402" s="36" t="str">
        <x:v>MYR</x:v>
      </x:c>
      <x:c r="N402" s="36"/>
      <x:c r="O402" s="36"/>
      <x:c r="P402" s="40"/>
      <x:c r="Q402" s="36" t="str">
        <x:f>IF(P402="","",P402-TODAY())</x:f>
      </x:c>
      <x:c r="R402" s="36" t="str">
        <x:f>IF(E402="","",IF(X402="DUPLICATE","STOP — DUPLICATE",IF(OR(N402="Completed",N402="Cancelled",N402="Rejected",N402="Superseded"),"Closed",IF(P402="","No due date",IF(Q402&lt;0,"OVERDUE",IF(Q402&lt;=7,"DUE SOON","Open"))))))</x:f>
      </x:c>
      <x:c r="S402" s="36"/>
      <x:c r="T402" s="36"/>
      <x:c r="U402" s="36"/>
      <x:c r="V402" s="42"/>
      <x:c r="W402" s="36"/>
      <x:c r="X402" s="36" t="str">
        <x:f>IF(E402="","",IF(COUNTIF($E$7:$E$506,E402)&gt;1,"DUPLICATE","OK"))</x:f>
      </x:c>
    </x:row>
    <x:row r="403">
      <x:c r="A403" s="36" t="str">
        <x:v>NEX</x:v>
      </x:c>
      <x:c r="B403" s="36"/>
      <x:c r="C403" s="38"/>
      <x:c r="D403" s="38"/>
      <x:c r="E403" s="36" t="str">
        <x:f>IF(OR(A403="",B403="",C403="",D403=""),"",A403&amp;"-"&amp;B403&amp;"-"&amp;TEXT(C403,"0000")&amp;"-"&amp;TEXT(D403,"0000"))</x:f>
      </x:c>
      <x:c r="F403" s="36" t="str">
        <x:v>R0</x:v>
      </x:c>
      <x:c r="G403" s="40"/>
      <x:c r="H403" s="40"/>
      <x:c r="I403" s="36"/>
      <x:c r="J403" s="36"/>
      <x:c r="K403" s="36"/>
      <x:c r="L403" s="44"/>
      <x:c r="M403" s="36" t="str">
        <x:v>MYR</x:v>
      </x:c>
      <x:c r="N403" s="36"/>
      <x:c r="O403" s="36"/>
      <x:c r="P403" s="40"/>
      <x:c r="Q403" s="36" t="str">
        <x:f>IF(P403="","",P403-TODAY())</x:f>
      </x:c>
      <x:c r="R403" s="36" t="str">
        <x:f>IF(E403="","",IF(X403="DUPLICATE","STOP — DUPLICATE",IF(OR(N403="Completed",N403="Cancelled",N403="Rejected",N403="Superseded"),"Closed",IF(P403="","No due date",IF(Q403&lt;0,"OVERDUE",IF(Q403&lt;=7,"DUE SOON","Open"))))))</x:f>
      </x:c>
      <x:c r="S403" s="36"/>
      <x:c r="T403" s="36"/>
      <x:c r="U403" s="36"/>
      <x:c r="V403" s="42"/>
      <x:c r="W403" s="36"/>
      <x:c r="X403" s="36" t="str">
        <x:f>IF(E403="","",IF(COUNTIF($E$7:$E$506,E403)&gt;1,"DUPLICATE","OK"))</x:f>
      </x:c>
    </x:row>
    <x:row r="404">
      <x:c r="A404" s="36" t="str">
        <x:v>NEX</x:v>
      </x:c>
      <x:c r="B404" s="36"/>
      <x:c r="C404" s="38"/>
      <x:c r="D404" s="38"/>
      <x:c r="E404" s="36" t="str">
        <x:f>IF(OR(A404="",B404="",C404="",D404=""),"",A404&amp;"-"&amp;B404&amp;"-"&amp;TEXT(C404,"0000")&amp;"-"&amp;TEXT(D404,"0000"))</x:f>
      </x:c>
      <x:c r="F404" s="36" t="str">
        <x:v>R0</x:v>
      </x:c>
      <x:c r="G404" s="40"/>
      <x:c r="H404" s="40"/>
      <x:c r="I404" s="36"/>
      <x:c r="J404" s="36"/>
      <x:c r="K404" s="36"/>
      <x:c r="L404" s="44"/>
      <x:c r="M404" s="36" t="str">
        <x:v>MYR</x:v>
      </x:c>
      <x:c r="N404" s="36"/>
      <x:c r="O404" s="36"/>
      <x:c r="P404" s="40"/>
      <x:c r="Q404" s="36" t="str">
        <x:f>IF(P404="","",P404-TODAY())</x:f>
      </x:c>
      <x:c r="R404" s="36" t="str">
        <x:f>IF(E404="","",IF(X404="DUPLICATE","STOP — DUPLICATE",IF(OR(N404="Completed",N404="Cancelled",N404="Rejected",N404="Superseded"),"Closed",IF(P404="","No due date",IF(Q404&lt;0,"OVERDUE",IF(Q404&lt;=7,"DUE SOON","Open"))))))</x:f>
      </x:c>
      <x:c r="S404" s="36"/>
      <x:c r="T404" s="36"/>
      <x:c r="U404" s="36"/>
      <x:c r="V404" s="42"/>
      <x:c r="W404" s="36"/>
      <x:c r="X404" s="36" t="str">
        <x:f>IF(E404="","",IF(COUNTIF($E$7:$E$506,E404)&gt;1,"DUPLICATE","OK"))</x:f>
      </x:c>
    </x:row>
    <x:row r="405">
      <x:c r="A405" s="36" t="str">
        <x:v>NEX</x:v>
      </x:c>
      <x:c r="B405" s="36"/>
      <x:c r="C405" s="38"/>
      <x:c r="D405" s="38"/>
      <x:c r="E405" s="36" t="str">
        <x:f>IF(OR(A405="",B405="",C405="",D405=""),"",A405&amp;"-"&amp;B405&amp;"-"&amp;TEXT(C405,"0000")&amp;"-"&amp;TEXT(D405,"0000"))</x:f>
      </x:c>
      <x:c r="F405" s="36" t="str">
        <x:v>R0</x:v>
      </x:c>
      <x:c r="G405" s="40"/>
      <x:c r="H405" s="40"/>
      <x:c r="I405" s="36"/>
      <x:c r="J405" s="36"/>
      <x:c r="K405" s="36"/>
      <x:c r="L405" s="44"/>
      <x:c r="M405" s="36" t="str">
        <x:v>MYR</x:v>
      </x:c>
      <x:c r="N405" s="36"/>
      <x:c r="O405" s="36"/>
      <x:c r="P405" s="40"/>
      <x:c r="Q405" s="36" t="str">
        <x:f>IF(P405="","",P405-TODAY())</x:f>
      </x:c>
      <x:c r="R405" s="36" t="str">
        <x:f>IF(E405="","",IF(X405="DUPLICATE","STOP — DUPLICATE",IF(OR(N405="Completed",N405="Cancelled",N405="Rejected",N405="Superseded"),"Closed",IF(P405="","No due date",IF(Q405&lt;0,"OVERDUE",IF(Q405&lt;=7,"DUE SOON","Open"))))))</x:f>
      </x:c>
      <x:c r="S405" s="36"/>
      <x:c r="T405" s="36"/>
      <x:c r="U405" s="36"/>
      <x:c r="V405" s="42"/>
      <x:c r="W405" s="36"/>
      <x:c r="X405" s="36" t="str">
        <x:f>IF(E405="","",IF(COUNTIF($E$7:$E$506,E405)&gt;1,"DUPLICATE","OK"))</x:f>
      </x:c>
    </x:row>
    <x:row r="406">
      <x:c r="A406" s="36" t="str">
        <x:v>NEX</x:v>
      </x:c>
      <x:c r="B406" s="36"/>
      <x:c r="C406" s="38"/>
      <x:c r="D406" s="38"/>
      <x:c r="E406" s="36" t="str">
        <x:f>IF(OR(A406="",B406="",C406="",D406=""),"",A406&amp;"-"&amp;B406&amp;"-"&amp;TEXT(C406,"0000")&amp;"-"&amp;TEXT(D406,"0000"))</x:f>
      </x:c>
      <x:c r="F406" s="36" t="str">
        <x:v>R0</x:v>
      </x:c>
      <x:c r="G406" s="40"/>
      <x:c r="H406" s="40"/>
      <x:c r="I406" s="36"/>
      <x:c r="J406" s="36"/>
      <x:c r="K406" s="36"/>
      <x:c r="L406" s="44"/>
      <x:c r="M406" s="36" t="str">
        <x:v>MYR</x:v>
      </x:c>
      <x:c r="N406" s="36"/>
      <x:c r="O406" s="36"/>
      <x:c r="P406" s="40"/>
      <x:c r="Q406" s="36" t="str">
        <x:f>IF(P406="","",P406-TODAY())</x:f>
      </x:c>
      <x:c r="R406" s="36" t="str">
        <x:f>IF(E406="","",IF(X406="DUPLICATE","STOP — DUPLICATE",IF(OR(N406="Completed",N406="Cancelled",N406="Rejected",N406="Superseded"),"Closed",IF(P406="","No due date",IF(Q406&lt;0,"OVERDUE",IF(Q406&lt;=7,"DUE SOON","Open"))))))</x:f>
      </x:c>
      <x:c r="S406" s="36"/>
      <x:c r="T406" s="36"/>
      <x:c r="U406" s="36"/>
      <x:c r="V406" s="42"/>
      <x:c r="W406" s="36"/>
      <x:c r="X406" s="36" t="str">
        <x:f>IF(E406="","",IF(COUNTIF($E$7:$E$506,E406)&gt;1,"DUPLICATE","OK"))</x:f>
      </x:c>
    </x:row>
    <x:row r="407">
      <x:c r="A407" s="36" t="str">
        <x:v>NEX</x:v>
      </x:c>
      <x:c r="B407" s="36"/>
      <x:c r="C407" s="38"/>
      <x:c r="D407" s="38"/>
      <x:c r="E407" s="36" t="str">
        <x:f>IF(OR(A407="",B407="",C407="",D407=""),"",A407&amp;"-"&amp;B407&amp;"-"&amp;TEXT(C407,"0000")&amp;"-"&amp;TEXT(D407,"0000"))</x:f>
      </x:c>
      <x:c r="F407" s="36" t="str">
        <x:v>R0</x:v>
      </x:c>
      <x:c r="G407" s="40"/>
      <x:c r="H407" s="40"/>
      <x:c r="I407" s="36"/>
      <x:c r="J407" s="36"/>
      <x:c r="K407" s="36"/>
      <x:c r="L407" s="44"/>
      <x:c r="M407" s="36" t="str">
        <x:v>MYR</x:v>
      </x:c>
      <x:c r="N407" s="36"/>
      <x:c r="O407" s="36"/>
      <x:c r="P407" s="40"/>
      <x:c r="Q407" s="36" t="str">
        <x:f>IF(P407="","",P407-TODAY())</x:f>
      </x:c>
      <x:c r="R407" s="36" t="str">
        <x:f>IF(E407="","",IF(X407="DUPLICATE","STOP — DUPLICATE",IF(OR(N407="Completed",N407="Cancelled",N407="Rejected",N407="Superseded"),"Closed",IF(P407="","No due date",IF(Q407&lt;0,"OVERDUE",IF(Q407&lt;=7,"DUE SOON","Open"))))))</x:f>
      </x:c>
      <x:c r="S407" s="36"/>
      <x:c r="T407" s="36"/>
      <x:c r="U407" s="36"/>
      <x:c r="V407" s="42"/>
      <x:c r="W407" s="36"/>
      <x:c r="X407" s="36" t="str">
        <x:f>IF(E407="","",IF(COUNTIF($E$7:$E$506,E407)&gt;1,"DUPLICATE","OK"))</x:f>
      </x:c>
    </x:row>
    <x:row r="408">
      <x:c r="A408" s="36" t="str">
        <x:v>NEX</x:v>
      </x:c>
      <x:c r="B408" s="36"/>
      <x:c r="C408" s="38"/>
      <x:c r="D408" s="38"/>
      <x:c r="E408" s="36" t="str">
        <x:f>IF(OR(A408="",B408="",C408="",D408=""),"",A408&amp;"-"&amp;B408&amp;"-"&amp;TEXT(C408,"0000")&amp;"-"&amp;TEXT(D408,"0000"))</x:f>
      </x:c>
      <x:c r="F408" s="36" t="str">
        <x:v>R0</x:v>
      </x:c>
      <x:c r="G408" s="40"/>
      <x:c r="H408" s="40"/>
      <x:c r="I408" s="36"/>
      <x:c r="J408" s="36"/>
      <x:c r="K408" s="36"/>
      <x:c r="L408" s="44"/>
      <x:c r="M408" s="36" t="str">
        <x:v>MYR</x:v>
      </x:c>
      <x:c r="N408" s="36"/>
      <x:c r="O408" s="36"/>
      <x:c r="P408" s="40"/>
      <x:c r="Q408" s="36" t="str">
        <x:f>IF(P408="","",P408-TODAY())</x:f>
      </x:c>
      <x:c r="R408" s="36" t="str">
        <x:f>IF(E408="","",IF(X408="DUPLICATE","STOP — DUPLICATE",IF(OR(N408="Completed",N408="Cancelled",N408="Rejected",N408="Superseded"),"Closed",IF(P408="","No due date",IF(Q408&lt;0,"OVERDUE",IF(Q408&lt;=7,"DUE SOON","Open"))))))</x:f>
      </x:c>
      <x:c r="S408" s="36"/>
      <x:c r="T408" s="36"/>
      <x:c r="U408" s="36"/>
      <x:c r="V408" s="42"/>
      <x:c r="W408" s="36"/>
      <x:c r="X408" s="36" t="str">
        <x:f>IF(E408="","",IF(COUNTIF($E$7:$E$506,E408)&gt;1,"DUPLICATE","OK"))</x:f>
      </x:c>
    </x:row>
    <x:row r="409">
      <x:c r="A409" s="36" t="str">
        <x:v>NEX</x:v>
      </x:c>
      <x:c r="B409" s="36"/>
      <x:c r="C409" s="38"/>
      <x:c r="D409" s="38"/>
      <x:c r="E409" s="36" t="str">
        <x:f>IF(OR(A409="",B409="",C409="",D409=""),"",A409&amp;"-"&amp;B409&amp;"-"&amp;TEXT(C409,"0000")&amp;"-"&amp;TEXT(D409,"0000"))</x:f>
      </x:c>
      <x:c r="F409" s="36" t="str">
        <x:v>R0</x:v>
      </x:c>
      <x:c r="G409" s="40"/>
      <x:c r="H409" s="40"/>
      <x:c r="I409" s="36"/>
      <x:c r="J409" s="36"/>
      <x:c r="K409" s="36"/>
      <x:c r="L409" s="44"/>
      <x:c r="M409" s="36" t="str">
        <x:v>MYR</x:v>
      </x:c>
      <x:c r="N409" s="36"/>
      <x:c r="O409" s="36"/>
      <x:c r="P409" s="40"/>
      <x:c r="Q409" s="36" t="str">
        <x:f>IF(P409="","",P409-TODAY())</x:f>
      </x:c>
      <x:c r="R409" s="36" t="str">
        <x:f>IF(E409="","",IF(X409="DUPLICATE","STOP — DUPLICATE",IF(OR(N409="Completed",N409="Cancelled",N409="Rejected",N409="Superseded"),"Closed",IF(P409="","No due date",IF(Q409&lt;0,"OVERDUE",IF(Q409&lt;=7,"DUE SOON","Open"))))))</x:f>
      </x:c>
      <x:c r="S409" s="36"/>
      <x:c r="T409" s="36"/>
      <x:c r="U409" s="36"/>
      <x:c r="V409" s="42"/>
      <x:c r="W409" s="36"/>
      <x:c r="X409" s="36" t="str">
        <x:f>IF(E409="","",IF(COUNTIF($E$7:$E$506,E409)&gt;1,"DUPLICATE","OK"))</x:f>
      </x:c>
    </x:row>
    <x:row r="410">
      <x:c r="A410" s="36" t="str">
        <x:v>NEX</x:v>
      </x:c>
      <x:c r="B410" s="36"/>
      <x:c r="C410" s="38"/>
      <x:c r="D410" s="38"/>
      <x:c r="E410" s="36" t="str">
        <x:f>IF(OR(A410="",B410="",C410="",D410=""),"",A410&amp;"-"&amp;B410&amp;"-"&amp;TEXT(C410,"0000")&amp;"-"&amp;TEXT(D410,"0000"))</x:f>
      </x:c>
      <x:c r="F410" s="36" t="str">
        <x:v>R0</x:v>
      </x:c>
      <x:c r="G410" s="40"/>
      <x:c r="H410" s="40"/>
      <x:c r="I410" s="36"/>
      <x:c r="J410" s="36"/>
      <x:c r="K410" s="36"/>
      <x:c r="L410" s="44"/>
      <x:c r="M410" s="36" t="str">
        <x:v>MYR</x:v>
      </x:c>
      <x:c r="N410" s="36"/>
      <x:c r="O410" s="36"/>
      <x:c r="P410" s="40"/>
      <x:c r="Q410" s="36" t="str">
        <x:f>IF(P410="","",P410-TODAY())</x:f>
      </x:c>
      <x:c r="R410" s="36" t="str">
        <x:f>IF(E410="","",IF(X410="DUPLICATE","STOP — DUPLICATE",IF(OR(N410="Completed",N410="Cancelled",N410="Rejected",N410="Superseded"),"Closed",IF(P410="","No due date",IF(Q410&lt;0,"OVERDUE",IF(Q410&lt;=7,"DUE SOON","Open"))))))</x:f>
      </x:c>
      <x:c r="S410" s="36"/>
      <x:c r="T410" s="36"/>
      <x:c r="U410" s="36"/>
      <x:c r="V410" s="42"/>
      <x:c r="W410" s="36"/>
      <x:c r="X410" s="36" t="str">
        <x:f>IF(E410="","",IF(COUNTIF($E$7:$E$506,E410)&gt;1,"DUPLICATE","OK"))</x:f>
      </x:c>
    </x:row>
    <x:row r="411">
      <x:c r="A411" s="36" t="str">
        <x:v>NEX</x:v>
      </x:c>
      <x:c r="B411" s="36"/>
      <x:c r="C411" s="38"/>
      <x:c r="D411" s="38"/>
      <x:c r="E411" s="36" t="str">
        <x:f>IF(OR(A411="",B411="",C411="",D411=""),"",A411&amp;"-"&amp;B411&amp;"-"&amp;TEXT(C411,"0000")&amp;"-"&amp;TEXT(D411,"0000"))</x:f>
      </x:c>
      <x:c r="F411" s="36" t="str">
        <x:v>R0</x:v>
      </x:c>
      <x:c r="G411" s="40"/>
      <x:c r="H411" s="40"/>
      <x:c r="I411" s="36"/>
      <x:c r="J411" s="36"/>
      <x:c r="K411" s="36"/>
      <x:c r="L411" s="44"/>
      <x:c r="M411" s="36" t="str">
        <x:v>MYR</x:v>
      </x:c>
      <x:c r="N411" s="36"/>
      <x:c r="O411" s="36"/>
      <x:c r="P411" s="40"/>
      <x:c r="Q411" s="36" t="str">
        <x:f>IF(P411="","",P411-TODAY())</x:f>
      </x:c>
      <x:c r="R411" s="36" t="str">
        <x:f>IF(E411="","",IF(X411="DUPLICATE","STOP — DUPLICATE",IF(OR(N411="Completed",N411="Cancelled",N411="Rejected",N411="Superseded"),"Closed",IF(P411="","No due date",IF(Q411&lt;0,"OVERDUE",IF(Q411&lt;=7,"DUE SOON","Open"))))))</x:f>
      </x:c>
      <x:c r="S411" s="36"/>
      <x:c r="T411" s="36"/>
      <x:c r="U411" s="36"/>
      <x:c r="V411" s="42"/>
      <x:c r="W411" s="36"/>
      <x:c r="X411" s="36" t="str">
        <x:f>IF(E411="","",IF(COUNTIF($E$7:$E$506,E411)&gt;1,"DUPLICATE","OK"))</x:f>
      </x:c>
    </x:row>
    <x:row r="412">
      <x:c r="A412" s="36" t="str">
        <x:v>NEX</x:v>
      </x:c>
      <x:c r="B412" s="36"/>
      <x:c r="C412" s="38"/>
      <x:c r="D412" s="38"/>
      <x:c r="E412" s="36" t="str">
        <x:f>IF(OR(A412="",B412="",C412="",D412=""),"",A412&amp;"-"&amp;B412&amp;"-"&amp;TEXT(C412,"0000")&amp;"-"&amp;TEXT(D412,"0000"))</x:f>
      </x:c>
      <x:c r="F412" s="36" t="str">
        <x:v>R0</x:v>
      </x:c>
      <x:c r="G412" s="40"/>
      <x:c r="H412" s="40"/>
      <x:c r="I412" s="36"/>
      <x:c r="J412" s="36"/>
      <x:c r="K412" s="36"/>
      <x:c r="L412" s="44"/>
      <x:c r="M412" s="36" t="str">
        <x:v>MYR</x:v>
      </x:c>
      <x:c r="N412" s="36"/>
      <x:c r="O412" s="36"/>
      <x:c r="P412" s="40"/>
      <x:c r="Q412" s="36" t="str">
        <x:f>IF(P412="","",P412-TODAY())</x:f>
      </x:c>
      <x:c r="R412" s="36" t="str">
        <x:f>IF(E412="","",IF(X412="DUPLICATE","STOP — DUPLICATE",IF(OR(N412="Completed",N412="Cancelled",N412="Rejected",N412="Superseded"),"Closed",IF(P412="","No due date",IF(Q412&lt;0,"OVERDUE",IF(Q412&lt;=7,"DUE SOON","Open"))))))</x:f>
      </x:c>
      <x:c r="S412" s="36"/>
      <x:c r="T412" s="36"/>
      <x:c r="U412" s="36"/>
      <x:c r="V412" s="42"/>
      <x:c r="W412" s="36"/>
      <x:c r="X412" s="36" t="str">
        <x:f>IF(E412="","",IF(COUNTIF($E$7:$E$506,E412)&gt;1,"DUPLICATE","OK"))</x:f>
      </x:c>
    </x:row>
    <x:row r="413">
      <x:c r="A413" s="36" t="str">
        <x:v>NEX</x:v>
      </x:c>
      <x:c r="B413" s="36"/>
      <x:c r="C413" s="38"/>
      <x:c r="D413" s="38"/>
      <x:c r="E413" s="36" t="str">
        <x:f>IF(OR(A413="",B413="",C413="",D413=""),"",A413&amp;"-"&amp;B413&amp;"-"&amp;TEXT(C413,"0000")&amp;"-"&amp;TEXT(D413,"0000"))</x:f>
      </x:c>
      <x:c r="F413" s="36" t="str">
        <x:v>R0</x:v>
      </x:c>
      <x:c r="G413" s="40"/>
      <x:c r="H413" s="40"/>
      <x:c r="I413" s="36"/>
      <x:c r="J413" s="36"/>
      <x:c r="K413" s="36"/>
      <x:c r="L413" s="44"/>
      <x:c r="M413" s="36" t="str">
        <x:v>MYR</x:v>
      </x:c>
      <x:c r="N413" s="36"/>
      <x:c r="O413" s="36"/>
      <x:c r="P413" s="40"/>
      <x:c r="Q413" s="36" t="str">
        <x:f>IF(P413="","",P413-TODAY())</x:f>
      </x:c>
      <x:c r="R413" s="36" t="str">
        <x:f>IF(E413="","",IF(X413="DUPLICATE","STOP — DUPLICATE",IF(OR(N413="Completed",N413="Cancelled",N413="Rejected",N413="Superseded"),"Closed",IF(P413="","No due date",IF(Q413&lt;0,"OVERDUE",IF(Q413&lt;=7,"DUE SOON","Open"))))))</x:f>
      </x:c>
      <x:c r="S413" s="36"/>
      <x:c r="T413" s="36"/>
      <x:c r="U413" s="36"/>
      <x:c r="V413" s="42"/>
      <x:c r="W413" s="36"/>
      <x:c r="X413" s="36" t="str">
        <x:f>IF(E413="","",IF(COUNTIF($E$7:$E$506,E413)&gt;1,"DUPLICATE","OK"))</x:f>
      </x:c>
    </x:row>
    <x:row r="414">
      <x:c r="A414" s="36" t="str">
        <x:v>NEX</x:v>
      </x:c>
      <x:c r="B414" s="36"/>
      <x:c r="C414" s="38"/>
      <x:c r="D414" s="38"/>
      <x:c r="E414" s="36" t="str">
        <x:f>IF(OR(A414="",B414="",C414="",D414=""),"",A414&amp;"-"&amp;B414&amp;"-"&amp;TEXT(C414,"0000")&amp;"-"&amp;TEXT(D414,"0000"))</x:f>
      </x:c>
      <x:c r="F414" s="36" t="str">
        <x:v>R0</x:v>
      </x:c>
      <x:c r="G414" s="40"/>
      <x:c r="H414" s="40"/>
      <x:c r="I414" s="36"/>
      <x:c r="J414" s="36"/>
      <x:c r="K414" s="36"/>
      <x:c r="L414" s="44"/>
      <x:c r="M414" s="36" t="str">
        <x:v>MYR</x:v>
      </x:c>
      <x:c r="N414" s="36"/>
      <x:c r="O414" s="36"/>
      <x:c r="P414" s="40"/>
      <x:c r="Q414" s="36" t="str">
        <x:f>IF(P414="","",P414-TODAY())</x:f>
      </x:c>
      <x:c r="R414" s="36" t="str">
        <x:f>IF(E414="","",IF(X414="DUPLICATE","STOP — DUPLICATE",IF(OR(N414="Completed",N414="Cancelled",N414="Rejected",N414="Superseded"),"Closed",IF(P414="","No due date",IF(Q414&lt;0,"OVERDUE",IF(Q414&lt;=7,"DUE SOON","Open"))))))</x:f>
      </x:c>
      <x:c r="S414" s="36"/>
      <x:c r="T414" s="36"/>
      <x:c r="U414" s="36"/>
      <x:c r="V414" s="42"/>
      <x:c r="W414" s="36"/>
      <x:c r="X414" s="36" t="str">
        <x:f>IF(E414="","",IF(COUNTIF($E$7:$E$506,E414)&gt;1,"DUPLICATE","OK"))</x:f>
      </x:c>
    </x:row>
    <x:row r="415">
      <x:c r="A415" s="36" t="str">
        <x:v>NEX</x:v>
      </x:c>
      <x:c r="B415" s="36"/>
      <x:c r="C415" s="38"/>
      <x:c r="D415" s="38"/>
      <x:c r="E415" s="36" t="str">
        <x:f>IF(OR(A415="",B415="",C415="",D415=""),"",A415&amp;"-"&amp;B415&amp;"-"&amp;TEXT(C415,"0000")&amp;"-"&amp;TEXT(D415,"0000"))</x:f>
      </x:c>
      <x:c r="F415" s="36" t="str">
        <x:v>R0</x:v>
      </x:c>
      <x:c r="G415" s="40"/>
      <x:c r="H415" s="40"/>
      <x:c r="I415" s="36"/>
      <x:c r="J415" s="36"/>
      <x:c r="K415" s="36"/>
      <x:c r="L415" s="44"/>
      <x:c r="M415" s="36" t="str">
        <x:v>MYR</x:v>
      </x:c>
      <x:c r="N415" s="36"/>
      <x:c r="O415" s="36"/>
      <x:c r="P415" s="40"/>
      <x:c r="Q415" s="36" t="str">
        <x:f>IF(P415="","",P415-TODAY())</x:f>
      </x:c>
      <x:c r="R415" s="36" t="str">
        <x:f>IF(E415="","",IF(X415="DUPLICATE","STOP — DUPLICATE",IF(OR(N415="Completed",N415="Cancelled",N415="Rejected",N415="Superseded"),"Closed",IF(P415="","No due date",IF(Q415&lt;0,"OVERDUE",IF(Q415&lt;=7,"DUE SOON","Open"))))))</x:f>
      </x:c>
      <x:c r="S415" s="36"/>
      <x:c r="T415" s="36"/>
      <x:c r="U415" s="36"/>
      <x:c r="V415" s="42"/>
      <x:c r="W415" s="36"/>
      <x:c r="X415" s="36" t="str">
        <x:f>IF(E415="","",IF(COUNTIF($E$7:$E$506,E415)&gt;1,"DUPLICATE","OK"))</x:f>
      </x:c>
    </x:row>
    <x:row r="416">
      <x:c r="A416" s="36" t="str">
        <x:v>NEX</x:v>
      </x:c>
      <x:c r="B416" s="36"/>
      <x:c r="C416" s="38"/>
      <x:c r="D416" s="38"/>
      <x:c r="E416" s="36" t="str">
        <x:f>IF(OR(A416="",B416="",C416="",D416=""),"",A416&amp;"-"&amp;B416&amp;"-"&amp;TEXT(C416,"0000")&amp;"-"&amp;TEXT(D416,"0000"))</x:f>
      </x:c>
      <x:c r="F416" s="36" t="str">
        <x:v>R0</x:v>
      </x:c>
      <x:c r="G416" s="40"/>
      <x:c r="H416" s="40"/>
      <x:c r="I416" s="36"/>
      <x:c r="J416" s="36"/>
      <x:c r="K416" s="36"/>
      <x:c r="L416" s="44"/>
      <x:c r="M416" s="36" t="str">
        <x:v>MYR</x:v>
      </x:c>
      <x:c r="N416" s="36"/>
      <x:c r="O416" s="36"/>
      <x:c r="P416" s="40"/>
      <x:c r="Q416" s="36" t="str">
        <x:f>IF(P416="","",P416-TODAY())</x:f>
      </x:c>
      <x:c r="R416" s="36" t="str">
        <x:f>IF(E416="","",IF(X416="DUPLICATE","STOP — DUPLICATE",IF(OR(N416="Completed",N416="Cancelled",N416="Rejected",N416="Superseded"),"Closed",IF(P416="","No due date",IF(Q416&lt;0,"OVERDUE",IF(Q416&lt;=7,"DUE SOON","Open"))))))</x:f>
      </x:c>
      <x:c r="S416" s="36"/>
      <x:c r="T416" s="36"/>
      <x:c r="U416" s="36"/>
      <x:c r="V416" s="42"/>
      <x:c r="W416" s="36"/>
      <x:c r="X416" s="36" t="str">
        <x:f>IF(E416="","",IF(COUNTIF($E$7:$E$506,E416)&gt;1,"DUPLICATE","OK"))</x:f>
      </x:c>
    </x:row>
    <x:row r="417">
      <x:c r="A417" s="36" t="str">
        <x:v>NEX</x:v>
      </x:c>
      <x:c r="B417" s="36"/>
      <x:c r="C417" s="38"/>
      <x:c r="D417" s="38"/>
      <x:c r="E417" s="36" t="str">
        <x:f>IF(OR(A417="",B417="",C417="",D417=""),"",A417&amp;"-"&amp;B417&amp;"-"&amp;TEXT(C417,"0000")&amp;"-"&amp;TEXT(D417,"0000"))</x:f>
      </x:c>
      <x:c r="F417" s="36" t="str">
        <x:v>R0</x:v>
      </x:c>
      <x:c r="G417" s="40"/>
      <x:c r="H417" s="40"/>
      <x:c r="I417" s="36"/>
      <x:c r="J417" s="36"/>
      <x:c r="K417" s="36"/>
      <x:c r="L417" s="44"/>
      <x:c r="M417" s="36" t="str">
        <x:v>MYR</x:v>
      </x:c>
      <x:c r="N417" s="36"/>
      <x:c r="O417" s="36"/>
      <x:c r="P417" s="40"/>
      <x:c r="Q417" s="36" t="str">
        <x:f>IF(P417="","",P417-TODAY())</x:f>
      </x:c>
      <x:c r="R417" s="36" t="str">
        <x:f>IF(E417="","",IF(X417="DUPLICATE","STOP — DUPLICATE",IF(OR(N417="Completed",N417="Cancelled",N417="Rejected",N417="Superseded"),"Closed",IF(P417="","No due date",IF(Q417&lt;0,"OVERDUE",IF(Q417&lt;=7,"DUE SOON","Open"))))))</x:f>
      </x:c>
      <x:c r="S417" s="36"/>
      <x:c r="T417" s="36"/>
      <x:c r="U417" s="36"/>
      <x:c r="V417" s="42"/>
      <x:c r="W417" s="36"/>
      <x:c r="X417" s="36" t="str">
        <x:f>IF(E417="","",IF(COUNTIF($E$7:$E$506,E417)&gt;1,"DUPLICATE","OK"))</x:f>
      </x:c>
    </x:row>
    <x:row r="418">
      <x:c r="A418" s="36" t="str">
        <x:v>NEX</x:v>
      </x:c>
      <x:c r="B418" s="36"/>
      <x:c r="C418" s="38"/>
      <x:c r="D418" s="38"/>
      <x:c r="E418" s="36" t="str">
        <x:f>IF(OR(A418="",B418="",C418="",D418=""),"",A418&amp;"-"&amp;B418&amp;"-"&amp;TEXT(C418,"0000")&amp;"-"&amp;TEXT(D418,"0000"))</x:f>
      </x:c>
      <x:c r="F418" s="36" t="str">
        <x:v>R0</x:v>
      </x:c>
      <x:c r="G418" s="40"/>
      <x:c r="H418" s="40"/>
      <x:c r="I418" s="36"/>
      <x:c r="J418" s="36"/>
      <x:c r="K418" s="36"/>
      <x:c r="L418" s="44"/>
      <x:c r="M418" s="36" t="str">
        <x:v>MYR</x:v>
      </x:c>
      <x:c r="N418" s="36"/>
      <x:c r="O418" s="36"/>
      <x:c r="P418" s="40"/>
      <x:c r="Q418" s="36" t="str">
        <x:f>IF(P418="","",P418-TODAY())</x:f>
      </x:c>
      <x:c r="R418" s="36" t="str">
        <x:f>IF(E418="","",IF(X418="DUPLICATE","STOP — DUPLICATE",IF(OR(N418="Completed",N418="Cancelled",N418="Rejected",N418="Superseded"),"Closed",IF(P418="","No due date",IF(Q418&lt;0,"OVERDUE",IF(Q418&lt;=7,"DUE SOON","Open"))))))</x:f>
      </x:c>
      <x:c r="S418" s="36"/>
      <x:c r="T418" s="36"/>
      <x:c r="U418" s="36"/>
      <x:c r="V418" s="42"/>
      <x:c r="W418" s="36"/>
      <x:c r="X418" s="36" t="str">
        <x:f>IF(E418="","",IF(COUNTIF($E$7:$E$506,E418)&gt;1,"DUPLICATE","OK"))</x:f>
      </x:c>
    </x:row>
    <x:row r="419">
      <x:c r="A419" s="36" t="str">
        <x:v>NEX</x:v>
      </x:c>
      <x:c r="B419" s="36"/>
      <x:c r="C419" s="38"/>
      <x:c r="D419" s="38"/>
      <x:c r="E419" s="36" t="str">
        <x:f>IF(OR(A419="",B419="",C419="",D419=""),"",A419&amp;"-"&amp;B419&amp;"-"&amp;TEXT(C419,"0000")&amp;"-"&amp;TEXT(D419,"0000"))</x:f>
      </x:c>
      <x:c r="F419" s="36" t="str">
        <x:v>R0</x:v>
      </x:c>
      <x:c r="G419" s="40"/>
      <x:c r="H419" s="40"/>
      <x:c r="I419" s="36"/>
      <x:c r="J419" s="36"/>
      <x:c r="K419" s="36"/>
      <x:c r="L419" s="44"/>
      <x:c r="M419" s="36" t="str">
        <x:v>MYR</x:v>
      </x:c>
      <x:c r="N419" s="36"/>
      <x:c r="O419" s="36"/>
      <x:c r="P419" s="40"/>
      <x:c r="Q419" s="36" t="str">
        <x:f>IF(P419="","",P419-TODAY())</x:f>
      </x:c>
      <x:c r="R419" s="36" t="str">
        <x:f>IF(E419="","",IF(X419="DUPLICATE","STOP — DUPLICATE",IF(OR(N419="Completed",N419="Cancelled",N419="Rejected",N419="Superseded"),"Closed",IF(P419="","No due date",IF(Q419&lt;0,"OVERDUE",IF(Q419&lt;=7,"DUE SOON","Open"))))))</x:f>
      </x:c>
      <x:c r="S419" s="36"/>
      <x:c r="T419" s="36"/>
      <x:c r="U419" s="36"/>
      <x:c r="V419" s="42"/>
      <x:c r="W419" s="36"/>
      <x:c r="X419" s="36" t="str">
        <x:f>IF(E419="","",IF(COUNTIF($E$7:$E$506,E419)&gt;1,"DUPLICATE","OK"))</x:f>
      </x:c>
    </x:row>
    <x:row r="420">
      <x:c r="A420" s="36" t="str">
        <x:v>NEX</x:v>
      </x:c>
      <x:c r="B420" s="36"/>
      <x:c r="C420" s="38"/>
      <x:c r="D420" s="38"/>
      <x:c r="E420" s="36" t="str">
        <x:f>IF(OR(A420="",B420="",C420="",D420=""),"",A420&amp;"-"&amp;B420&amp;"-"&amp;TEXT(C420,"0000")&amp;"-"&amp;TEXT(D420,"0000"))</x:f>
      </x:c>
      <x:c r="F420" s="36" t="str">
        <x:v>R0</x:v>
      </x:c>
      <x:c r="G420" s="40"/>
      <x:c r="H420" s="40"/>
      <x:c r="I420" s="36"/>
      <x:c r="J420" s="36"/>
      <x:c r="K420" s="36"/>
      <x:c r="L420" s="44"/>
      <x:c r="M420" s="36" t="str">
        <x:v>MYR</x:v>
      </x:c>
      <x:c r="N420" s="36"/>
      <x:c r="O420" s="36"/>
      <x:c r="P420" s="40"/>
      <x:c r="Q420" s="36" t="str">
        <x:f>IF(P420="","",P420-TODAY())</x:f>
      </x:c>
      <x:c r="R420" s="36" t="str">
        <x:f>IF(E420="","",IF(X420="DUPLICATE","STOP — DUPLICATE",IF(OR(N420="Completed",N420="Cancelled",N420="Rejected",N420="Superseded"),"Closed",IF(P420="","No due date",IF(Q420&lt;0,"OVERDUE",IF(Q420&lt;=7,"DUE SOON","Open"))))))</x:f>
      </x:c>
      <x:c r="S420" s="36"/>
      <x:c r="T420" s="36"/>
      <x:c r="U420" s="36"/>
      <x:c r="V420" s="42"/>
      <x:c r="W420" s="36"/>
      <x:c r="X420" s="36" t="str">
        <x:f>IF(E420="","",IF(COUNTIF($E$7:$E$506,E420)&gt;1,"DUPLICATE","OK"))</x:f>
      </x:c>
    </x:row>
    <x:row r="421">
      <x:c r="A421" s="36" t="str">
        <x:v>NEX</x:v>
      </x:c>
      <x:c r="B421" s="36"/>
      <x:c r="C421" s="38"/>
      <x:c r="D421" s="38"/>
      <x:c r="E421" s="36" t="str">
        <x:f>IF(OR(A421="",B421="",C421="",D421=""),"",A421&amp;"-"&amp;B421&amp;"-"&amp;TEXT(C421,"0000")&amp;"-"&amp;TEXT(D421,"0000"))</x:f>
      </x:c>
      <x:c r="F421" s="36" t="str">
        <x:v>R0</x:v>
      </x:c>
      <x:c r="G421" s="40"/>
      <x:c r="H421" s="40"/>
      <x:c r="I421" s="36"/>
      <x:c r="J421" s="36"/>
      <x:c r="K421" s="36"/>
      <x:c r="L421" s="44"/>
      <x:c r="M421" s="36" t="str">
        <x:v>MYR</x:v>
      </x:c>
      <x:c r="N421" s="36"/>
      <x:c r="O421" s="36"/>
      <x:c r="P421" s="40"/>
      <x:c r="Q421" s="36" t="str">
        <x:f>IF(P421="","",P421-TODAY())</x:f>
      </x:c>
      <x:c r="R421" s="36" t="str">
        <x:f>IF(E421="","",IF(X421="DUPLICATE","STOP — DUPLICATE",IF(OR(N421="Completed",N421="Cancelled",N421="Rejected",N421="Superseded"),"Closed",IF(P421="","No due date",IF(Q421&lt;0,"OVERDUE",IF(Q421&lt;=7,"DUE SOON","Open"))))))</x:f>
      </x:c>
      <x:c r="S421" s="36"/>
      <x:c r="T421" s="36"/>
      <x:c r="U421" s="36"/>
      <x:c r="V421" s="42"/>
      <x:c r="W421" s="36"/>
      <x:c r="X421" s="36" t="str">
        <x:f>IF(E421="","",IF(COUNTIF($E$7:$E$506,E421)&gt;1,"DUPLICATE","OK"))</x:f>
      </x:c>
    </x:row>
    <x:row r="422">
      <x:c r="A422" s="36" t="str">
        <x:v>NEX</x:v>
      </x:c>
      <x:c r="B422" s="36"/>
      <x:c r="C422" s="38"/>
      <x:c r="D422" s="38"/>
      <x:c r="E422" s="36" t="str">
        <x:f>IF(OR(A422="",B422="",C422="",D422=""),"",A422&amp;"-"&amp;B422&amp;"-"&amp;TEXT(C422,"0000")&amp;"-"&amp;TEXT(D422,"0000"))</x:f>
      </x:c>
      <x:c r="F422" s="36" t="str">
        <x:v>R0</x:v>
      </x:c>
      <x:c r="G422" s="40"/>
      <x:c r="H422" s="40"/>
      <x:c r="I422" s="36"/>
      <x:c r="J422" s="36"/>
      <x:c r="K422" s="36"/>
      <x:c r="L422" s="44"/>
      <x:c r="M422" s="36" t="str">
        <x:v>MYR</x:v>
      </x:c>
      <x:c r="N422" s="36"/>
      <x:c r="O422" s="36"/>
      <x:c r="P422" s="40"/>
      <x:c r="Q422" s="36" t="str">
        <x:f>IF(P422="","",P422-TODAY())</x:f>
      </x:c>
      <x:c r="R422" s="36" t="str">
        <x:f>IF(E422="","",IF(X422="DUPLICATE","STOP — DUPLICATE",IF(OR(N422="Completed",N422="Cancelled",N422="Rejected",N422="Superseded"),"Closed",IF(P422="","No due date",IF(Q422&lt;0,"OVERDUE",IF(Q422&lt;=7,"DUE SOON","Open"))))))</x:f>
      </x:c>
      <x:c r="S422" s="36"/>
      <x:c r="T422" s="36"/>
      <x:c r="U422" s="36"/>
      <x:c r="V422" s="42"/>
      <x:c r="W422" s="36"/>
      <x:c r="X422" s="36" t="str">
        <x:f>IF(E422="","",IF(COUNTIF($E$7:$E$506,E422)&gt;1,"DUPLICATE","OK"))</x:f>
      </x:c>
    </x:row>
    <x:row r="423">
      <x:c r="A423" s="36" t="str">
        <x:v>NEX</x:v>
      </x:c>
      <x:c r="B423" s="36"/>
      <x:c r="C423" s="38"/>
      <x:c r="D423" s="38"/>
      <x:c r="E423" s="36" t="str">
        <x:f>IF(OR(A423="",B423="",C423="",D423=""),"",A423&amp;"-"&amp;B423&amp;"-"&amp;TEXT(C423,"0000")&amp;"-"&amp;TEXT(D423,"0000"))</x:f>
      </x:c>
      <x:c r="F423" s="36" t="str">
        <x:v>R0</x:v>
      </x:c>
      <x:c r="G423" s="40"/>
      <x:c r="H423" s="40"/>
      <x:c r="I423" s="36"/>
      <x:c r="J423" s="36"/>
      <x:c r="K423" s="36"/>
      <x:c r="L423" s="44"/>
      <x:c r="M423" s="36" t="str">
        <x:v>MYR</x:v>
      </x:c>
      <x:c r="N423" s="36"/>
      <x:c r="O423" s="36"/>
      <x:c r="P423" s="40"/>
      <x:c r="Q423" s="36" t="str">
        <x:f>IF(P423="","",P423-TODAY())</x:f>
      </x:c>
      <x:c r="R423" s="36" t="str">
        <x:f>IF(E423="","",IF(X423="DUPLICATE","STOP — DUPLICATE",IF(OR(N423="Completed",N423="Cancelled",N423="Rejected",N423="Superseded"),"Closed",IF(P423="","No due date",IF(Q423&lt;0,"OVERDUE",IF(Q423&lt;=7,"DUE SOON","Open"))))))</x:f>
      </x:c>
      <x:c r="S423" s="36"/>
      <x:c r="T423" s="36"/>
      <x:c r="U423" s="36"/>
      <x:c r="V423" s="42"/>
      <x:c r="W423" s="36"/>
      <x:c r="X423" s="36" t="str">
        <x:f>IF(E423="","",IF(COUNTIF($E$7:$E$506,E423)&gt;1,"DUPLICATE","OK"))</x:f>
      </x:c>
    </x:row>
    <x:row r="424">
      <x:c r="A424" s="36" t="str">
        <x:v>NEX</x:v>
      </x:c>
      <x:c r="B424" s="36"/>
      <x:c r="C424" s="38"/>
      <x:c r="D424" s="38"/>
      <x:c r="E424" s="36" t="str">
        <x:f>IF(OR(A424="",B424="",C424="",D424=""),"",A424&amp;"-"&amp;B424&amp;"-"&amp;TEXT(C424,"0000")&amp;"-"&amp;TEXT(D424,"0000"))</x:f>
      </x:c>
      <x:c r="F424" s="36" t="str">
        <x:v>R0</x:v>
      </x:c>
      <x:c r="G424" s="40"/>
      <x:c r="H424" s="40"/>
      <x:c r="I424" s="36"/>
      <x:c r="J424" s="36"/>
      <x:c r="K424" s="36"/>
      <x:c r="L424" s="44"/>
      <x:c r="M424" s="36" t="str">
        <x:v>MYR</x:v>
      </x:c>
      <x:c r="N424" s="36"/>
      <x:c r="O424" s="36"/>
      <x:c r="P424" s="40"/>
      <x:c r="Q424" s="36" t="str">
        <x:f>IF(P424="","",P424-TODAY())</x:f>
      </x:c>
      <x:c r="R424" s="36" t="str">
        <x:f>IF(E424="","",IF(X424="DUPLICATE","STOP — DUPLICATE",IF(OR(N424="Completed",N424="Cancelled",N424="Rejected",N424="Superseded"),"Closed",IF(P424="","No due date",IF(Q424&lt;0,"OVERDUE",IF(Q424&lt;=7,"DUE SOON","Open"))))))</x:f>
      </x:c>
      <x:c r="S424" s="36"/>
      <x:c r="T424" s="36"/>
      <x:c r="U424" s="36"/>
      <x:c r="V424" s="42"/>
      <x:c r="W424" s="36"/>
      <x:c r="X424" s="36" t="str">
        <x:f>IF(E424="","",IF(COUNTIF($E$7:$E$506,E424)&gt;1,"DUPLICATE","OK"))</x:f>
      </x:c>
    </x:row>
    <x:row r="425">
      <x:c r="A425" s="36" t="str">
        <x:v>NEX</x:v>
      </x:c>
      <x:c r="B425" s="36"/>
      <x:c r="C425" s="38"/>
      <x:c r="D425" s="38"/>
      <x:c r="E425" s="36" t="str">
        <x:f>IF(OR(A425="",B425="",C425="",D425=""),"",A425&amp;"-"&amp;B425&amp;"-"&amp;TEXT(C425,"0000")&amp;"-"&amp;TEXT(D425,"0000"))</x:f>
      </x:c>
      <x:c r="F425" s="36" t="str">
        <x:v>R0</x:v>
      </x:c>
      <x:c r="G425" s="40"/>
      <x:c r="H425" s="40"/>
      <x:c r="I425" s="36"/>
      <x:c r="J425" s="36"/>
      <x:c r="K425" s="36"/>
      <x:c r="L425" s="44"/>
      <x:c r="M425" s="36" t="str">
        <x:v>MYR</x:v>
      </x:c>
      <x:c r="N425" s="36"/>
      <x:c r="O425" s="36"/>
      <x:c r="P425" s="40"/>
      <x:c r="Q425" s="36" t="str">
        <x:f>IF(P425="","",P425-TODAY())</x:f>
      </x:c>
      <x:c r="R425" s="36" t="str">
        <x:f>IF(E425="","",IF(X425="DUPLICATE","STOP — DUPLICATE",IF(OR(N425="Completed",N425="Cancelled",N425="Rejected",N425="Superseded"),"Closed",IF(P425="","No due date",IF(Q425&lt;0,"OVERDUE",IF(Q425&lt;=7,"DUE SOON","Open"))))))</x:f>
      </x:c>
      <x:c r="S425" s="36"/>
      <x:c r="T425" s="36"/>
      <x:c r="U425" s="36"/>
      <x:c r="V425" s="42"/>
      <x:c r="W425" s="36"/>
      <x:c r="X425" s="36" t="str">
        <x:f>IF(E425="","",IF(COUNTIF($E$7:$E$506,E425)&gt;1,"DUPLICATE","OK"))</x:f>
      </x:c>
    </x:row>
    <x:row r="426">
      <x:c r="A426" s="36" t="str">
        <x:v>NEX</x:v>
      </x:c>
      <x:c r="B426" s="36"/>
      <x:c r="C426" s="38"/>
      <x:c r="D426" s="38"/>
      <x:c r="E426" s="36" t="str">
        <x:f>IF(OR(A426="",B426="",C426="",D426=""),"",A426&amp;"-"&amp;B426&amp;"-"&amp;TEXT(C426,"0000")&amp;"-"&amp;TEXT(D426,"0000"))</x:f>
      </x:c>
      <x:c r="F426" s="36" t="str">
        <x:v>R0</x:v>
      </x:c>
      <x:c r="G426" s="40"/>
      <x:c r="H426" s="40"/>
      <x:c r="I426" s="36"/>
      <x:c r="J426" s="36"/>
      <x:c r="K426" s="36"/>
      <x:c r="L426" s="44"/>
      <x:c r="M426" s="36" t="str">
        <x:v>MYR</x:v>
      </x:c>
      <x:c r="N426" s="36"/>
      <x:c r="O426" s="36"/>
      <x:c r="P426" s="40"/>
      <x:c r="Q426" s="36" t="str">
        <x:f>IF(P426="","",P426-TODAY())</x:f>
      </x:c>
      <x:c r="R426" s="36" t="str">
        <x:f>IF(E426="","",IF(X426="DUPLICATE","STOP — DUPLICATE",IF(OR(N426="Completed",N426="Cancelled",N426="Rejected",N426="Superseded"),"Closed",IF(P426="","No due date",IF(Q426&lt;0,"OVERDUE",IF(Q426&lt;=7,"DUE SOON","Open"))))))</x:f>
      </x:c>
      <x:c r="S426" s="36"/>
      <x:c r="T426" s="36"/>
      <x:c r="U426" s="36"/>
      <x:c r="V426" s="42"/>
      <x:c r="W426" s="36"/>
      <x:c r="X426" s="36" t="str">
        <x:f>IF(E426="","",IF(COUNTIF($E$7:$E$506,E426)&gt;1,"DUPLICATE","OK"))</x:f>
      </x:c>
    </x:row>
    <x:row r="427">
      <x:c r="A427" s="36" t="str">
        <x:v>NEX</x:v>
      </x:c>
      <x:c r="B427" s="36"/>
      <x:c r="C427" s="38"/>
      <x:c r="D427" s="38"/>
      <x:c r="E427" s="36" t="str">
        <x:f>IF(OR(A427="",B427="",C427="",D427=""),"",A427&amp;"-"&amp;B427&amp;"-"&amp;TEXT(C427,"0000")&amp;"-"&amp;TEXT(D427,"0000"))</x:f>
      </x:c>
      <x:c r="F427" s="36" t="str">
        <x:v>R0</x:v>
      </x:c>
      <x:c r="G427" s="40"/>
      <x:c r="H427" s="40"/>
      <x:c r="I427" s="36"/>
      <x:c r="J427" s="36"/>
      <x:c r="K427" s="36"/>
      <x:c r="L427" s="44"/>
      <x:c r="M427" s="36" t="str">
        <x:v>MYR</x:v>
      </x:c>
      <x:c r="N427" s="36"/>
      <x:c r="O427" s="36"/>
      <x:c r="P427" s="40"/>
      <x:c r="Q427" s="36" t="str">
        <x:f>IF(P427="","",P427-TODAY())</x:f>
      </x:c>
      <x:c r="R427" s="36" t="str">
        <x:f>IF(E427="","",IF(X427="DUPLICATE","STOP — DUPLICATE",IF(OR(N427="Completed",N427="Cancelled",N427="Rejected",N427="Superseded"),"Closed",IF(P427="","No due date",IF(Q427&lt;0,"OVERDUE",IF(Q427&lt;=7,"DUE SOON","Open"))))))</x:f>
      </x:c>
      <x:c r="S427" s="36"/>
      <x:c r="T427" s="36"/>
      <x:c r="U427" s="36"/>
      <x:c r="V427" s="42"/>
      <x:c r="W427" s="36"/>
      <x:c r="X427" s="36" t="str">
        <x:f>IF(E427="","",IF(COUNTIF($E$7:$E$506,E427)&gt;1,"DUPLICATE","OK"))</x:f>
      </x:c>
    </x:row>
    <x:row r="428">
      <x:c r="A428" s="36" t="str">
        <x:v>NEX</x:v>
      </x:c>
      <x:c r="B428" s="36"/>
      <x:c r="C428" s="38"/>
      <x:c r="D428" s="38"/>
      <x:c r="E428" s="36" t="str">
        <x:f>IF(OR(A428="",B428="",C428="",D428=""),"",A428&amp;"-"&amp;B428&amp;"-"&amp;TEXT(C428,"0000")&amp;"-"&amp;TEXT(D428,"0000"))</x:f>
      </x:c>
      <x:c r="F428" s="36" t="str">
        <x:v>R0</x:v>
      </x:c>
      <x:c r="G428" s="40"/>
      <x:c r="H428" s="40"/>
      <x:c r="I428" s="36"/>
      <x:c r="J428" s="36"/>
      <x:c r="K428" s="36"/>
      <x:c r="L428" s="44"/>
      <x:c r="M428" s="36" t="str">
        <x:v>MYR</x:v>
      </x:c>
      <x:c r="N428" s="36"/>
      <x:c r="O428" s="36"/>
      <x:c r="P428" s="40"/>
      <x:c r="Q428" s="36" t="str">
        <x:f>IF(P428="","",P428-TODAY())</x:f>
      </x:c>
      <x:c r="R428" s="36" t="str">
        <x:f>IF(E428="","",IF(X428="DUPLICATE","STOP — DUPLICATE",IF(OR(N428="Completed",N428="Cancelled",N428="Rejected",N428="Superseded"),"Closed",IF(P428="","No due date",IF(Q428&lt;0,"OVERDUE",IF(Q428&lt;=7,"DUE SOON","Open"))))))</x:f>
      </x:c>
      <x:c r="S428" s="36"/>
      <x:c r="T428" s="36"/>
      <x:c r="U428" s="36"/>
      <x:c r="V428" s="42"/>
      <x:c r="W428" s="36"/>
      <x:c r="X428" s="36" t="str">
        <x:f>IF(E428="","",IF(COUNTIF($E$7:$E$506,E428)&gt;1,"DUPLICATE","OK"))</x:f>
      </x:c>
    </x:row>
    <x:row r="429">
      <x:c r="A429" s="36" t="str">
        <x:v>NEX</x:v>
      </x:c>
      <x:c r="B429" s="36"/>
      <x:c r="C429" s="38"/>
      <x:c r="D429" s="38"/>
      <x:c r="E429" s="36" t="str">
        <x:f>IF(OR(A429="",B429="",C429="",D429=""),"",A429&amp;"-"&amp;B429&amp;"-"&amp;TEXT(C429,"0000")&amp;"-"&amp;TEXT(D429,"0000"))</x:f>
      </x:c>
      <x:c r="F429" s="36" t="str">
        <x:v>R0</x:v>
      </x:c>
      <x:c r="G429" s="40"/>
      <x:c r="H429" s="40"/>
      <x:c r="I429" s="36"/>
      <x:c r="J429" s="36"/>
      <x:c r="K429" s="36"/>
      <x:c r="L429" s="44"/>
      <x:c r="M429" s="36" t="str">
        <x:v>MYR</x:v>
      </x:c>
      <x:c r="N429" s="36"/>
      <x:c r="O429" s="36"/>
      <x:c r="P429" s="40"/>
      <x:c r="Q429" s="36" t="str">
        <x:f>IF(P429="","",P429-TODAY())</x:f>
      </x:c>
      <x:c r="R429" s="36" t="str">
        <x:f>IF(E429="","",IF(X429="DUPLICATE","STOP — DUPLICATE",IF(OR(N429="Completed",N429="Cancelled",N429="Rejected",N429="Superseded"),"Closed",IF(P429="","No due date",IF(Q429&lt;0,"OVERDUE",IF(Q429&lt;=7,"DUE SOON","Open"))))))</x:f>
      </x:c>
      <x:c r="S429" s="36"/>
      <x:c r="T429" s="36"/>
      <x:c r="U429" s="36"/>
      <x:c r="V429" s="42"/>
      <x:c r="W429" s="36"/>
      <x:c r="X429" s="36" t="str">
        <x:f>IF(E429="","",IF(COUNTIF($E$7:$E$506,E429)&gt;1,"DUPLICATE","OK"))</x:f>
      </x:c>
    </x:row>
    <x:row r="430">
      <x:c r="A430" s="36" t="str">
        <x:v>NEX</x:v>
      </x:c>
      <x:c r="B430" s="36"/>
      <x:c r="C430" s="38"/>
      <x:c r="D430" s="38"/>
      <x:c r="E430" s="36" t="str">
        <x:f>IF(OR(A430="",B430="",C430="",D430=""),"",A430&amp;"-"&amp;B430&amp;"-"&amp;TEXT(C430,"0000")&amp;"-"&amp;TEXT(D430,"0000"))</x:f>
      </x:c>
      <x:c r="F430" s="36" t="str">
        <x:v>R0</x:v>
      </x:c>
      <x:c r="G430" s="40"/>
      <x:c r="H430" s="40"/>
      <x:c r="I430" s="36"/>
      <x:c r="J430" s="36"/>
      <x:c r="K430" s="36"/>
      <x:c r="L430" s="44"/>
      <x:c r="M430" s="36" t="str">
        <x:v>MYR</x:v>
      </x:c>
      <x:c r="N430" s="36"/>
      <x:c r="O430" s="36"/>
      <x:c r="P430" s="40"/>
      <x:c r="Q430" s="36" t="str">
        <x:f>IF(P430="","",P430-TODAY())</x:f>
      </x:c>
      <x:c r="R430" s="36" t="str">
        <x:f>IF(E430="","",IF(X430="DUPLICATE","STOP — DUPLICATE",IF(OR(N430="Completed",N430="Cancelled",N430="Rejected",N430="Superseded"),"Closed",IF(P430="","No due date",IF(Q430&lt;0,"OVERDUE",IF(Q430&lt;=7,"DUE SOON","Open"))))))</x:f>
      </x:c>
      <x:c r="S430" s="36"/>
      <x:c r="T430" s="36"/>
      <x:c r="U430" s="36"/>
      <x:c r="V430" s="42"/>
      <x:c r="W430" s="36"/>
      <x:c r="X430" s="36" t="str">
        <x:f>IF(E430="","",IF(COUNTIF($E$7:$E$506,E430)&gt;1,"DUPLICATE","OK"))</x:f>
      </x:c>
    </x:row>
    <x:row r="431">
      <x:c r="A431" s="36" t="str">
        <x:v>NEX</x:v>
      </x:c>
      <x:c r="B431" s="36"/>
      <x:c r="C431" s="38"/>
      <x:c r="D431" s="38"/>
      <x:c r="E431" s="36" t="str">
        <x:f>IF(OR(A431="",B431="",C431="",D431=""),"",A431&amp;"-"&amp;B431&amp;"-"&amp;TEXT(C431,"0000")&amp;"-"&amp;TEXT(D431,"0000"))</x:f>
      </x:c>
      <x:c r="F431" s="36" t="str">
        <x:v>R0</x:v>
      </x:c>
      <x:c r="G431" s="40"/>
      <x:c r="H431" s="40"/>
      <x:c r="I431" s="36"/>
      <x:c r="J431" s="36"/>
      <x:c r="K431" s="36"/>
      <x:c r="L431" s="44"/>
      <x:c r="M431" s="36" t="str">
        <x:v>MYR</x:v>
      </x:c>
      <x:c r="N431" s="36"/>
      <x:c r="O431" s="36"/>
      <x:c r="P431" s="40"/>
      <x:c r="Q431" s="36" t="str">
        <x:f>IF(P431="","",P431-TODAY())</x:f>
      </x:c>
      <x:c r="R431" s="36" t="str">
        <x:f>IF(E431="","",IF(X431="DUPLICATE","STOP — DUPLICATE",IF(OR(N431="Completed",N431="Cancelled",N431="Rejected",N431="Superseded"),"Closed",IF(P431="","No due date",IF(Q431&lt;0,"OVERDUE",IF(Q431&lt;=7,"DUE SOON","Open"))))))</x:f>
      </x:c>
      <x:c r="S431" s="36"/>
      <x:c r="T431" s="36"/>
      <x:c r="U431" s="36"/>
      <x:c r="V431" s="42"/>
      <x:c r="W431" s="36"/>
      <x:c r="X431" s="36" t="str">
        <x:f>IF(E431="","",IF(COUNTIF($E$7:$E$506,E431)&gt;1,"DUPLICATE","OK"))</x:f>
      </x:c>
    </x:row>
    <x:row r="432">
      <x:c r="A432" s="36" t="str">
        <x:v>NEX</x:v>
      </x:c>
      <x:c r="B432" s="36"/>
      <x:c r="C432" s="38"/>
      <x:c r="D432" s="38"/>
      <x:c r="E432" s="36" t="str">
        <x:f>IF(OR(A432="",B432="",C432="",D432=""),"",A432&amp;"-"&amp;B432&amp;"-"&amp;TEXT(C432,"0000")&amp;"-"&amp;TEXT(D432,"0000"))</x:f>
      </x:c>
      <x:c r="F432" s="36" t="str">
        <x:v>R0</x:v>
      </x:c>
      <x:c r="G432" s="40"/>
      <x:c r="H432" s="40"/>
      <x:c r="I432" s="36"/>
      <x:c r="J432" s="36"/>
      <x:c r="K432" s="36"/>
      <x:c r="L432" s="44"/>
      <x:c r="M432" s="36" t="str">
        <x:v>MYR</x:v>
      </x:c>
      <x:c r="N432" s="36"/>
      <x:c r="O432" s="36"/>
      <x:c r="P432" s="40"/>
      <x:c r="Q432" s="36" t="str">
        <x:f>IF(P432="","",P432-TODAY())</x:f>
      </x:c>
      <x:c r="R432" s="36" t="str">
        <x:f>IF(E432="","",IF(X432="DUPLICATE","STOP — DUPLICATE",IF(OR(N432="Completed",N432="Cancelled",N432="Rejected",N432="Superseded"),"Closed",IF(P432="","No due date",IF(Q432&lt;0,"OVERDUE",IF(Q432&lt;=7,"DUE SOON","Open"))))))</x:f>
      </x:c>
      <x:c r="S432" s="36"/>
      <x:c r="T432" s="36"/>
      <x:c r="U432" s="36"/>
      <x:c r="V432" s="42"/>
      <x:c r="W432" s="36"/>
      <x:c r="X432" s="36" t="str">
        <x:f>IF(E432="","",IF(COUNTIF($E$7:$E$506,E432)&gt;1,"DUPLICATE","OK"))</x:f>
      </x:c>
    </x:row>
    <x:row r="433">
      <x:c r="A433" s="36" t="str">
        <x:v>NEX</x:v>
      </x:c>
      <x:c r="B433" s="36"/>
      <x:c r="C433" s="38"/>
      <x:c r="D433" s="38"/>
      <x:c r="E433" s="36" t="str">
        <x:f>IF(OR(A433="",B433="",C433="",D433=""),"",A433&amp;"-"&amp;B433&amp;"-"&amp;TEXT(C433,"0000")&amp;"-"&amp;TEXT(D433,"0000"))</x:f>
      </x:c>
      <x:c r="F433" s="36" t="str">
        <x:v>R0</x:v>
      </x:c>
      <x:c r="G433" s="40"/>
      <x:c r="H433" s="40"/>
      <x:c r="I433" s="36"/>
      <x:c r="J433" s="36"/>
      <x:c r="K433" s="36"/>
      <x:c r="L433" s="44"/>
      <x:c r="M433" s="36" t="str">
        <x:v>MYR</x:v>
      </x:c>
      <x:c r="N433" s="36"/>
      <x:c r="O433" s="36"/>
      <x:c r="P433" s="40"/>
      <x:c r="Q433" s="36" t="str">
        <x:f>IF(P433="","",P433-TODAY())</x:f>
      </x:c>
      <x:c r="R433" s="36" t="str">
        <x:f>IF(E433="","",IF(X433="DUPLICATE","STOP — DUPLICATE",IF(OR(N433="Completed",N433="Cancelled",N433="Rejected",N433="Superseded"),"Closed",IF(P433="","No due date",IF(Q433&lt;0,"OVERDUE",IF(Q433&lt;=7,"DUE SOON","Open"))))))</x:f>
      </x:c>
      <x:c r="S433" s="36"/>
      <x:c r="T433" s="36"/>
      <x:c r="U433" s="36"/>
      <x:c r="V433" s="42"/>
      <x:c r="W433" s="36"/>
      <x:c r="X433" s="36" t="str">
        <x:f>IF(E433="","",IF(COUNTIF($E$7:$E$506,E433)&gt;1,"DUPLICATE","OK"))</x:f>
      </x:c>
    </x:row>
    <x:row r="434">
      <x:c r="A434" s="36" t="str">
        <x:v>NEX</x:v>
      </x:c>
      <x:c r="B434" s="36"/>
      <x:c r="C434" s="38"/>
      <x:c r="D434" s="38"/>
      <x:c r="E434" s="36" t="str">
        <x:f>IF(OR(A434="",B434="",C434="",D434=""),"",A434&amp;"-"&amp;B434&amp;"-"&amp;TEXT(C434,"0000")&amp;"-"&amp;TEXT(D434,"0000"))</x:f>
      </x:c>
      <x:c r="F434" s="36" t="str">
        <x:v>R0</x:v>
      </x:c>
      <x:c r="G434" s="40"/>
      <x:c r="H434" s="40"/>
      <x:c r="I434" s="36"/>
      <x:c r="J434" s="36"/>
      <x:c r="K434" s="36"/>
      <x:c r="L434" s="44"/>
      <x:c r="M434" s="36" t="str">
        <x:v>MYR</x:v>
      </x:c>
      <x:c r="N434" s="36"/>
      <x:c r="O434" s="36"/>
      <x:c r="P434" s="40"/>
      <x:c r="Q434" s="36" t="str">
        <x:f>IF(P434="","",P434-TODAY())</x:f>
      </x:c>
      <x:c r="R434" s="36" t="str">
        <x:f>IF(E434="","",IF(X434="DUPLICATE","STOP — DUPLICATE",IF(OR(N434="Completed",N434="Cancelled",N434="Rejected",N434="Superseded"),"Closed",IF(P434="","No due date",IF(Q434&lt;0,"OVERDUE",IF(Q434&lt;=7,"DUE SOON","Open"))))))</x:f>
      </x:c>
      <x:c r="S434" s="36"/>
      <x:c r="T434" s="36"/>
      <x:c r="U434" s="36"/>
      <x:c r="V434" s="42"/>
      <x:c r="W434" s="36"/>
      <x:c r="X434" s="36" t="str">
        <x:f>IF(E434="","",IF(COUNTIF($E$7:$E$506,E434)&gt;1,"DUPLICATE","OK"))</x:f>
      </x:c>
    </x:row>
    <x:row r="435">
      <x:c r="A435" s="36" t="str">
        <x:v>NEX</x:v>
      </x:c>
      <x:c r="B435" s="36"/>
      <x:c r="C435" s="38"/>
      <x:c r="D435" s="38"/>
      <x:c r="E435" s="36" t="str">
        <x:f>IF(OR(A435="",B435="",C435="",D435=""),"",A435&amp;"-"&amp;B435&amp;"-"&amp;TEXT(C435,"0000")&amp;"-"&amp;TEXT(D435,"0000"))</x:f>
      </x:c>
      <x:c r="F435" s="36" t="str">
        <x:v>R0</x:v>
      </x:c>
      <x:c r="G435" s="40"/>
      <x:c r="H435" s="40"/>
      <x:c r="I435" s="36"/>
      <x:c r="J435" s="36"/>
      <x:c r="K435" s="36"/>
      <x:c r="L435" s="44"/>
      <x:c r="M435" s="36" t="str">
        <x:v>MYR</x:v>
      </x:c>
      <x:c r="N435" s="36"/>
      <x:c r="O435" s="36"/>
      <x:c r="P435" s="40"/>
      <x:c r="Q435" s="36" t="str">
        <x:f>IF(P435="","",P435-TODAY())</x:f>
      </x:c>
      <x:c r="R435" s="36" t="str">
        <x:f>IF(E435="","",IF(X435="DUPLICATE","STOP — DUPLICATE",IF(OR(N435="Completed",N435="Cancelled",N435="Rejected",N435="Superseded"),"Closed",IF(P435="","No due date",IF(Q435&lt;0,"OVERDUE",IF(Q435&lt;=7,"DUE SOON","Open"))))))</x:f>
      </x:c>
      <x:c r="S435" s="36"/>
      <x:c r="T435" s="36"/>
      <x:c r="U435" s="36"/>
      <x:c r="V435" s="42"/>
      <x:c r="W435" s="36"/>
      <x:c r="X435" s="36" t="str">
        <x:f>IF(E435="","",IF(COUNTIF($E$7:$E$506,E435)&gt;1,"DUPLICATE","OK"))</x:f>
      </x:c>
    </x:row>
    <x:row r="436">
      <x:c r="A436" s="36" t="str">
        <x:v>NEX</x:v>
      </x:c>
      <x:c r="B436" s="36"/>
      <x:c r="C436" s="38"/>
      <x:c r="D436" s="38"/>
      <x:c r="E436" s="36" t="str">
        <x:f>IF(OR(A436="",B436="",C436="",D436=""),"",A436&amp;"-"&amp;B436&amp;"-"&amp;TEXT(C436,"0000")&amp;"-"&amp;TEXT(D436,"0000"))</x:f>
      </x:c>
      <x:c r="F436" s="36" t="str">
        <x:v>R0</x:v>
      </x:c>
      <x:c r="G436" s="40"/>
      <x:c r="H436" s="40"/>
      <x:c r="I436" s="36"/>
      <x:c r="J436" s="36"/>
      <x:c r="K436" s="36"/>
      <x:c r="L436" s="44"/>
      <x:c r="M436" s="36" t="str">
        <x:v>MYR</x:v>
      </x:c>
      <x:c r="N436" s="36"/>
      <x:c r="O436" s="36"/>
      <x:c r="P436" s="40"/>
      <x:c r="Q436" s="36" t="str">
        <x:f>IF(P436="","",P436-TODAY())</x:f>
      </x:c>
      <x:c r="R436" s="36" t="str">
        <x:f>IF(E436="","",IF(X436="DUPLICATE","STOP — DUPLICATE",IF(OR(N436="Completed",N436="Cancelled",N436="Rejected",N436="Superseded"),"Closed",IF(P436="","No due date",IF(Q436&lt;0,"OVERDUE",IF(Q436&lt;=7,"DUE SOON","Open"))))))</x:f>
      </x:c>
      <x:c r="S436" s="36"/>
      <x:c r="T436" s="36"/>
      <x:c r="U436" s="36"/>
      <x:c r="V436" s="42"/>
      <x:c r="W436" s="36"/>
      <x:c r="X436" s="36" t="str">
        <x:f>IF(E436="","",IF(COUNTIF($E$7:$E$506,E436)&gt;1,"DUPLICATE","OK"))</x:f>
      </x:c>
    </x:row>
    <x:row r="437">
      <x:c r="A437" s="36" t="str">
        <x:v>NEX</x:v>
      </x:c>
      <x:c r="B437" s="36"/>
      <x:c r="C437" s="38"/>
      <x:c r="D437" s="38"/>
      <x:c r="E437" s="36" t="str">
        <x:f>IF(OR(A437="",B437="",C437="",D437=""),"",A437&amp;"-"&amp;B437&amp;"-"&amp;TEXT(C437,"0000")&amp;"-"&amp;TEXT(D437,"0000"))</x:f>
      </x:c>
      <x:c r="F437" s="36" t="str">
        <x:v>R0</x:v>
      </x:c>
      <x:c r="G437" s="40"/>
      <x:c r="H437" s="40"/>
      <x:c r="I437" s="36"/>
      <x:c r="J437" s="36"/>
      <x:c r="K437" s="36"/>
      <x:c r="L437" s="44"/>
      <x:c r="M437" s="36" t="str">
        <x:v>MYR</x:v>
      </x:c>
      <x:c r="N437" s="36"/>
      <x:c r="O437" s="36"/>
      <x:c r="P437" s="40"/>
      <x:c r="Q437" s="36" t="str">
        <x:f>IF(P437="","",P437-TODAY())</x:f>
      </x:c>
      <x:c r="R437" s="36" t="str">
        <x:f>IF(E437="","",IF(X437="DUPLICATE","STOP — DUPLICATE",IF(OR(N437="Completed",N437="Cancelled",N437="Rejected",N437="Superseded"),"Closed",IF(P437="","No due date",IF(Q437&lt;0,"OVERDUE",IF(Q437&lt;=7,"DUE SOON","Open"))))))</x:f>
      </x:c>
      <x:c r="S437" s="36"/>
      <x:c r="T437" s="36"/>
      <x:c r="U437" s="36"/>
      <x:c r="V437" s="42"/>
      <x:c r="W437" s="36"/>
      <x:c r="X437" s="36" t="str">
        <x:f>IF(E437="","",IF(COUNTIF($E$7:$E$506,E437)&gt;1,"DUPLICATE","OK"))</x:f>
      </x:c>
    </x:row>
    <x:row r="438">
      <x:c r="A438" s="36" t="str">
        <x:v>NEX</x:v>
      </x:c>
      <x:c r="B438" s="36"/>
      <x:c r="C438" s="38"/>
      <x:c r="D438" s="38"/>
      <x:c r="E438" s="36" t="str">
        <x:f>IF(OR(A438="",B438="",C438="",D438=""),"",A438&amp;"-"&amp;B438&amp;"-"&amp;TEXT(C438,"0000")&amp;"-"&amp;TEXT(D438,"0000"))</x:f>
      </x:c>
      <x:c r="F438" s="36" t="str">
        <x:v>R0</x:v>
      </x:c>
      <x:c r="G438" s="40"/>
      <x:c r="H438" s="40"/>
      <x:c r="I438" s="36"/>
      <x:c r="J438" s="36"/>
      <x:c r="K438" s="36"/>
      <x:c r="L438" s="44"/>
      <x:c r="M438" s="36" t="str">
        <x:v>MYR</x:v>
      </x:c>
      <x:c r="N438" s="36"/>
      <x:c r="O438" s="36"/>
      <x:c r="P438" s="40"/>
      <x:c r="Q438" s="36" t="str">
        <x:f>IF(P438="","",P438-TODAY())</x:f>
      </x:c>
      <x:c r="R438" s="36" t="str">
        <x:f>IF(E438="","",IF(X438="DUPLICATE","STOP — DUPLICATE",IF(OR(N438="Completed",N438="Cancelled",N438="Rejected",N438="Superseded"),"Closed",IF(P438="","No due date",IF(Q438&lt;0,"OVERDUE",IF(Q438&lt;=7,"DUE SOON","Open"))))))</x:f>
      </x:c>
      <x:c r="S438" s="36"/>
      <x:c r="T438" s="36"/>
      <x:c r="U438" s="36"/>
      <x:c r="V438" s="42"/>
      <x:c r="W438" s="36"/>
      <x:c r="X438" s="36" t="str">
        <x:f>IF(E438="","",IF(COUNTIF($E$7:$E$506,E438)&gt;1,"DUPLICATE","OK"))</x:f>
      </x:c>
    </x:row>
    <x:row r="439">
      <x:c r="A439" s="36" t="str">
        <x:v>NEX</x:v>
      </x:c>
      <x:c r="B439" s="36"/>
      <x:c r="C439" s="38"/>
      <x:c r="D439" s="38"/>
      <x:c r="E439" s="36" t="str">
        <x:f>IF(OR(A439="",B439="",C439="",D439=""),"",A439&amp;"-"&amp;B439&amp;"-"&amp;TEXT(C439,"0000")&amp;"-"&amp;TEXT(D439,"0000"))</x:f>
      </x:c>
      <x:c r="F439" s="36" t="str">
        <x:v>R0</x:v>
      </x:c>
      <x:c r="G439" s="40"/>
      <x:c r="H439" s="40"/>
      <x:c r="I439" s="36"/>
      <x:c r="J439" s="36"/>
      <x:c r="K439" s="36"/>
      <x:c r="L439" s="44"/>
      <x:c r="M439" s="36" t="str">
        <x:v>MYR</x:v>
      </x:c>
      <x:c r="N439" s="36"/>
      <x:c r="O439" s="36"/>
      <x:c r="P439" s="40"/>
      <x:c r="Q439" s="36" t="str">
        <x:f>IF(P439="","",P439-TODAY())</x:f>
      </x:c>
      <x:c r="R439" s="36" t="str">
        <x:f>IF(E439="","",IF(X439="DUPLICATE","STOP — DUPLICATE",IF(OR(N439="Completed",N439="Cancelled",N439="Rejected",N439="Superseded"),"Closed",IF(P439="","No due date",IF(Q439&lt;0,"OVERDUE",IF(Q439&lt;=7,"DUE SOON","Open"))))))</x:f>
      </x:c>
      <x:c r="S439" s="36"/>
      <x:c r="T439" s="36"/>
      <x:c r="U439" s="36"/>
      <x:c r="V439" s="42"/>
      <x:c r="W439" s="36"/>
      <x:c r="X439" s="36" t="str">
        <x:f>IF(E439="","",IF(COUNTIF($E$7:$E$506,E439)&gt;1,"DUPLICATE","OK"))</x:f>
      </x:c>
    </x:row>
    <x:row r="440">
      <x:c r="A440" s="36" t="str">
        <x:v>NEX</x:v>
      </x:c>
      <x:c r="B440" s="36"/>
      <x:c r="C440" s="38"/>
      <x:c r="D440" s="38"/>
      <x:c r="E440" s="36" t="str">
        <x:f>IF(OR(A440="",B440="",C440="",D440=""),"",A440&amp;"-"&amp;B440&amp;"-"&amp;TEXT(C440,"0000")&amp;"-"&amp;TEXT(D440,"0000"))</x:f>
      </x:c>
      <x:c r="F440" s="36" t="str">
        <x:v>R0</x:v>
      </x:c>
      <x:c r="G440" s="40"/>
      <x:c r="H440" s="40"/>
      <x:c r="I440" s="36"/>
      <x:c r="J440" s="36"/>
      <x:c r="K440" s="36"/>
      <x:c r="L440" s="44"/>
      <x:c r="M440" s="36" t="str">
        <x:v>MYR</x:v>
      </x:c>
      <x:c r="N440" s="36"/>
      <x:c r="O440" s="36"/>
      <x:c r="P440" s="40"/>
      <x:c r="Q440" s="36" t="str">
        <x:f>IF(P440="","",P440-TODAY())</x:f>
      </x:c>
      <x:c r="R440" s="36" t="str">
        <x:f>IF(E440="","",IF(X440="DUPLICATE","STOP — DUPLICATE",IF(OR(N440="Completed",N440="Cancelled",N440="Rejected",N440="Superseded"),"Closed",IF(P440="","No due date",IF(Q440&lt;0,"OVERDUE",IF(Q440&lt;=7,"DUE SOON","Open"))))))</x:f>
      </x:c>
      <x:c r="S440" s="36"/>
      <x:c r="T440" s="36"/>
      <x:c r="U440" s="36"/>
      <x:c r="V440" s="42"/>
      <x:c r="W440" s="36"/>
      <x:c r="X440" s="36" t="str">
        <x:f>IF(E440="","",IF(COUNTIF($E$7:$E$506,E440)&gt;1,"DUPLICATE","OK"))</x:f>
      </x:c>
    </x:row>
    <x:row r="441">
      <x:c r="A441" s="36" t="str">
        <x:v>NEX</x:v>
      </x:c>
      <x:c r="B441" s="36"/>
      <x:c r="C441" s="38"/>
      <x:c r="D441" s="38"/>
      <x:c r="E441" s="36" t="str">
        <x:f>IF(OR(A441="",B441="",C441="",D441=""),"",A441&amp;"-"&amp;B441&amp;"-"&amp;TEXT(C441,"0000")&amp;"-"&amp;TEXT(D441,"0000"))</x:f>
      </x:c>
      <x:c r="F441" s="36" t="str">
        <x:v>R0</x:v>
      </x:c>
      <x:c r="G441" s="40"/>
      <x:c r="H441" s="40"/>
      <x:c r="I441" s="36"/>
      <x:c r="J441" s="36"/>
      <x:c r="K441" s="36"/>
      <x:c r="L441" s="44"/>
      <x:c r="M441" s="36" t="str">
        <x:v>MYR</x:v>
      </x:c>
      <x:c r="N441" s="36"/>
      <x:c r="O441" s="36"/>
      <x:c r="P441" s="40"/>
      <x:c r="Q441" s="36" t="str">
        <x:f>IF(P441="","",P441-TODAY())</x:f>
      </x:c>
      <x:c r="R441" s="36" t="str">
        <x:f>IF(E441="","",IF(X441="DUPLICATE","STOP — DUPLICATE",IF(OR(N441="Completed",N441="Cancelled",N441="Rejected",N441="Superseded"),"Closed",IF(P441="","No due date",IF(Q441&lt;0,"OVERDUE",IF(Q441&lt;=7,"DUE SOON","Open"))))))</x:f>
      </x:c>
      <x:c r="S441" s="36"/>
      <x:c r="T441" s="36"/>
      <x:c r="U441" s="36"/>
      <x:c r="V441" s="42"/>
      <x:c r="W441" s="36"/>
      <x:c r="X441" s="36" t="str">
        <x:f>IF(E441="","",IF(COUNTIF($E$7:$E$506,E441)&gt;1,"DUPLICATE","OK"))</x:f>
      </x:c>
    </x:row>
    <x:row r="442">
      <x:c r="A442" s="36" t="str">
        <x:v>NEX</x:v>
      </x:c>
      <x:c r="B442" s="36"/>
      <x:c r="C442" s="38"/>
      <x:c r="D442" s="38"/>
      <x:c r="E442" s="36" t="str">
        <x:f>IF(OR(A442="",B442="",C442="",D442=""),"",A442&amp;"-"&amp;B442&amp;"-"&amp;TEXT(C442,"0000")&amp;"-"&amp;TEXT(D442,"0000"))</x:f>
      </x:c>
      <x:c r="F442" s="36" t="str">
        <x:v>R0</x:v>
      </x:c>
      <x:c r="G442" s="40"/>
      <x:c r="H442" s="40"/>
      <x:c r="I442" s="36"/>
      <x:c r="J442" s="36"/>
      <x:c r="K442" s="36"/>
      <x:c r="L442" s="44"/>
      <x:c r="M442" s="36" t="str">
        <x:v>MYR</x:v>
      </x:c>
      <x:c r="N442" s="36"/>
      <x:c r="O442" s="36"/>
      <x:c r="P442" s="40"/>
      <x:c r="Q442" s="36" t="str">
        <x:f>IF(P442="","",P442-TODAY())</x:f>
      </x:c>
      <x:c r="R442" s="36" t="str">
        <x:f>IF(E442="","",IF(X442="DUPLICATE","STOP — DUPLICATE",IF(OR(N442="Completed",N442="Cancelled",N442="Rejected",N442="Superseded"),"Closed",IF(P442="","No due date",IF(Q442&lt;0,"OVERDUE",IF(Q442&lt;=7,"DUE SOON","Open"))))))</x:f>
      </x:c>
      <x:c r="S442" s="36"/>
      <x:c r="T442" s="36"/>
      <x:c r="U442" s="36"/>
      <x:c r="V442" s="42"/>
      <x:c r="W442" s="36"/>
      <x:c r="X442" s="36" t="str">
        <x:f>IF(E442="","",IF(COUNTIF($E$7:$E$506,E442)&gt;1,"DUPLICATE","OK"))</x:f>
      </x:c>
    </x:row>
    <x:row r="443">
      <x:c r="A443" s="36" t="str">
        <x:v>NEX</x:v>
      </x:c>
      <x:c r="B443" s="36"/>
      <x:c r="C443" s="38"/>
      <x:c r="D443" s="38"/>
      <x:c r="E443" s="36" t="str">
        <x:f>IF(OR(A443="",B443="",C443="",D443=""),"",A443&amp;"-"&amp;B443&amp;"-"&amp;TEXT(C443,"0000")&amp;"-"&amp;TEXT(D443,"0000"))</x:f>
      </x:c>
      <x:c r="F443" s="36" t="str">
        <x:v>R0</x:v>
      </x:c>
      <x:c r="G443" s="40"/>
      <x:c r="H443" s="40"/>
      <x:c r="I443" s="36"/>
      <x:c r="J443" s="36"/>
      <x:c r="K443" s="36"/>
      <x:c r="L443" s="44"/>
      <x:c r="M443" s="36" t="str">
        <x:v>MYR</x:v>
      </x:c>
      <x:c r="N443" s="36"/>
      <x:c r="O443" s="36"/>
      <x:c r="P443" s="40"/>
      <x:c r="Q443" s="36" t="str">
        <x:f>IF(P443="","",P443-TODAY())</x:f>
      </x:c>
      <x:c r="R443" s="36" t="str">
        <x:f>IF(E443="","",IF(X443="DUPLICATE","STOP — DUPLICATE",IF(OR(N443="Completed",N443="Cancelled",N443="Rejected",N443="Superseded"),"Closed",IF(P443="","No due date",IF(Q443&lt;0,"OVERDUE",IF(Q443&lt;=7,"DUE SOON","Open"))))))</x:f>
      </x:c>
      <x:c r="S443" s="36"/>
      <x:c r="T443" s="36"/>
      <x:c r="U443" s="36"/>
      <x:c r="V443" s="42"/>
      <x:c r="W443" s="36"/>
      <x:c r="X443" s="36" t="str">
        <x:f>IF(E443="","",IF(COUNTIF($E$7:$E$506,E443)&gt;1,"DUPLICATE","OK"))</x:f>
      </x:c>
    </x:row>
    <x:row r="444">
      <x:c r="A444" s="36" t="str">
        <x:v>NEX</x:v>
      </x:c>
      <x:c r="B444" s="36"/>
      <x:c r="C444" s="38"/>
      <x:c r="D444" s="38"/>
      <x:c r="E444" s="36" t="str">
        <x:f>IF(OR(A444="",B444="",C444="",D444=""),"",A444&amp;"-"&amp;B444&amp;"-"&amp;TEXT(C444,"0000")&amp;"-"&amp;TEXT(D444,"0000"))</x:f>
      </x:c>
      <x:c r="F444" s="36" t="str">
        <x:v>R0</x:v>
      </x:c>
      <x:c r="G444" s="40"/>
      <x:c r="H444" s="40"/>
      <x:c r="I444" s="36"/>
      <x:c r="J444" s="36"/>
      <x:c r="K444" s="36"/>
      <x:c r="L444" s="44"/>
      <x:c r="M444" s="36" t="str">
        <x:v>MYR</x:v>
      </x:c>
      <x:c r="N444" s="36"/>
      <x:c r="O444" s="36"/>
      <x:c r="P444" s="40"/>
      <x:c r="Q444" s="36" t="str">
        <x:f>IF(P444="","",P444-TODAY())</x:f>
      </x:c>
      <x:c r="R444" s="36" t="str">
        <x:f>IF(E444="","",IF(X444="DUPLICATE","STOP — DUPLICATE",IF(OR(N444="Completed",N444="Cancelled",N444="Rejected",N444="Superseded"),"Closed",IF(P444="","No due date",IF(Q444&lt;0,"OVERDUE",IF(Q444&lt;=7,"DUE SOON","Open"))))))</x:f>
      </x:c>
      <x:c r="S444" s="36"/>
      <x:c r="T444" s="36"/>
      <x:c r="U444" s="36"/>
      <x:c r="V444" s="42"/>
      <x:c r="W444" s="36"/>
      <x:c r="X444" s="36" t="str">
        <x:f>IF(E444="","",IF(COUNTIF($E$7:$E$506,E444)&gt;1,"DUPLICATE","OK"))</x:f>
      </x:c>
    </x:row>
    <x:row r="445">
      <x:c r="A445" s="36" t="str">
        <x:v>NEX</x:v>
      </x:c>
      <x:c r="B445" s="36"/>
      <x:c r="C445" s="38"/>
      <x:c r="D445" s="38"/>
      <x:c r="E445" s="36" t="str">
        <x:f>IF(OR(A445="",B445="",C445="",D445=""),"",A445&amp;"-"&amp;B445&amp;"-"&amp;TEXT(C445,"0000")&amp;"-"&amp;TEXT(D445,"0000"))</x:f>
      </x:c>
      <x:c r="F445" s="36" t="str">
        <x:v>R0</x:v>
      </x:c>
      <x:c r="G445" s="40"/>
      <x:c r="H445" s="40"/>
      <x:c r="I445" s="36"/>
      <x:c r="J445" s="36"/>
      <x:c r="K445" s="36"/>
      <x:c r="L445" s="44"/>
      <x:c r="M445" s="36" t="str">
        <x:v>MYR</x:v>
      </x:c>
      <x:c r="N445" s="36"/>
      <x:c r="O445" s="36"/>
      <x:c r="P445" s="40"/>
      <x:c r="Q445" s="36" t="str">
        <x:f>IF(P445="","",P445-TODAY())</x:f>
      </x:c>
      <x:c r="R445" s="36" t="str">
        <x:f>IF(E445="","",IF(X445="DUPLICATE","STOP — DUPLICATE",IF(OR(N445="Completed",N445="Cancelled",N445="Rejected",N445="Superseded"),"Closed",IF(P445="","No due date",IF(Q445&lt;0,"OVERDUE",IF(Q445&lt;=7,"DUE SOON","Open"))))))</x:f>
      </x:c>
      <x:c r="S445" s="36"/>
      <x:c r="T445" s="36"/>
      <x:c r="U445" s="36"/>
      <x:c r="V445" s="42"/>
      <x:c r="W445" s="36"/>
      <x:c r="X445" s="36" t="str">
        <x:f>IF(E445="","",IF(COUNTIF($E$7:$E$506,E445)&gt;1,"DUPLICATE","OK"))</x:f>
      </x:c>
    </x:row>
    <x:row r="446">
      <x:c r="A446" s="36" t="str">
        <x:v>NEX</x:v>
      </x:c>
      <x:c r="B446" s="36"/>
      <x:c r="C446" s="38"/>
      <x:c r="D446" s="38"/>
      <x:c r="E446" s="36" t="str">
        <x:f>IF(OR(A446="",B446="",C446="",D446=""),"",A446&amp;"-"&amp;B446&amp;"-"&amp;TEXT(C446,"0000")&amp;"-"&amp;TEXT(D446,"0000"))</x:f>
      </x:c>
      <x:c r="F446" s="36" t="str">
        <x:v>R0</x:v>
      </x:c>
      <x:c r="G446" s="40"/>
      <x:c r="H446" s="40"/>
      <x:c r="I446" s="36"/>
      <x:c r="J446" s="36"/>
      <x:c r="K446" s="36"/>
      <x:c r="L446" s="44"/>
      <x:c r="M446" s="36" t="str">
        <x:v>MYR</x:v>
      </x:c>
      <x:c r="N446" s="36"/>
      <x:c r="O446" s="36"/>
      <x:c r="P446" s="40"/>
      <x:c r="Q446" s="36" t="str">
        <x:f>IF(P446="","",P446-TODAY())</x:f>
      </x:c>
      <x:c r="R446" s="36" t="str">
        <x:f>IF(E446="","",IF(X446="DUPLICATE","STOP — DUPLICATE",IF(OR(N446="Completed",N446="Cancelled",N446="Rejected",N446="Superseded"),"Closed",IF(P446="","No due date",IF(Q446&lt;0,"OVERDUE",IF(Q446&lt;=7,"DUE SOON","Open"))))))</x:f>
      </x:c>
      <x:c r="S446" s="36"/>
      <x:c r="T446" s="36"/>
      <x:c r="U446" s="36"/>
      <x:c r="V446" s="42"/>
      <x:c r="W446" s="36"/>
      <x:c r="X446" s="36" t="str">
        <x:f>IF(E446="","",IF(COUNTIF($E$7:$E$506,E446)&gt;1,"DUPLICATE","OK"))</x:f>
      </x:c>
    </x:row>
    <x:row r="447">
      <x:c r="A447" s="36" t="str">
        <x:v>NEX</x:v>
      </x:c>
      <x:c r="B447" s="36"/>
      <x:c r="C447" s="38"/>
      <x:c r="D447" s="38"/>
      <x:c r="E447" s="36" t="str">
        <x:f>IF(OR(A447="",B447="",C447="",D447=""),"",A447&amp;"-"&amp;B447&amp;"-"&amp;TEXT(C447,"0000")&amp;"-"&amp;TEXT(D447,"0000"))</x:f>
      </x:c>
      <x:c r="F447" s="36" t="str">
        <x:v>R0</x:v>
      </x:c>
      <x:c r="G447" s="40"/>
      <x:c r="H447" s="40"/>
      <x:c r="I447" s="36"/>
      <x:c r="J447" s="36"/>
      <x:c r="K447" s="36"/>
      <x:c r="L447" s="44"/>
      <x:c r="M447" s="36" t="str">
        <x:v>MYR</x:v>
      </x:c>
      <x:c r="N447" s="36"/>
      <x:c r="O447" s="36"/>
      <x:c r="P447" s="40"/>
      <x:c r="Q447" s="36" t="str">
        <x:f>IF(P447="","",P447-TODAY())</x:f>
      </x:c>
      <x:c r="R447" s="36" t="str">
        <x:f>IF(E447="","",IF(X447="DUPLICATE","STOP — DUPLICATE",IF(OR(N447="Completed",N447="Cancelled",N447="Rejected",N447="Superseded"),"Closed",IF(P447="","No due date",IF(Q447&lt;0,"OVERDUE",IF(Q447&lt;=7,"DUE SOON","Open"))))))</x:f>
      </x:c>
      <x:c r="S447" s="36"/>
      <x:c r="T447" s="36"/>
      <x:c r="U447" s="36"/>
      <x:c r="V447" s="42"/>
      <x:c r="W447" s="36"/>
      <x:c r="X447" s="36" t="str">
        <x:f>IF(E447="","",IF(COUNTIF($E$7:$E$506,E447)&gt;1,"DUPLICATE","OK"))</x:f>
      </x:c>
    </x:row>
    <x:row r="448">
      <x:c r="A448" s="36" t="str">
        <x:v>NEX</x:v>
      </x:c>
      <x:c r="B448" s="36"/>
      <x:c r="C448" s="38"/>
      <x:c r="D448" s="38"/>
      <x:c r="E448" s="36" t="str">
        <x:f>IF(OR(A448="",B448="",C448="",D448=""),"",A448&amp;"-"&amp;B448&amp;"-"&amp;TEXT(C448,"0000")&amp;"-"&amp;TEXT(D448,"0000"))</x:f>
      </x:c>
      <x:c r="F448" s="36" t="str">
        <x:v>R0</x:v>
      </x:c>
      <x:c r="G448" s="40"/>
      <x:c r="H448" s="40"/>
      <x:c r="I448" s="36"/>
      <x:c r="J448" s="36"/>
      <x:c r="K448" s="36"/>
      <x:c r="L448" s="44"/>
      <x:c r="M448" s="36" t="str">
        <x:v>MYR</x:v>
      </x:c>
      <x:c r="N448" s="36"/>
      <x:c r="O448" s="36"/>
      <x:c r="P448" s="40"/>
      <x:c r="Q448" s="36" t="str">
        <x:f>IF(P448="","",P448-TODAY())</x:f>
      </x:c>
      <x:c r="R448" s="36" t="str">
        <x:f>IF(E448="","",IF(X448="DUPLICATE","STOP — DUPLICATE",IF(OR(N448="Completed",N448="Cancelled",N448="Rejected",N448="Superseded"),"Closed",IF(P448="","No due date",IF(Q448&lt;0,"OVERDUE",IF(Q448&lt;=7,"DUE SOON","Open"))))))</x:f>
      </x:c>
      <x:c r="S448" s="36"/>
      <x:c r="T448" s="36"/>
      <x:c r="U448" s="36"/>
      <x:c r="V448" s="42"/>
      <x:c r="W448" s="36"/>
      <x:c r="X448" s="36" t="str">
        <x:f>IF(E448="","",IF(COUNTIF($E$7:$E$506,E448)&gt;1,"DUPLICATE","OK"))</x:f>
      </x:c>
    </x:row>
    <x:row r="449">
      <x:c r="A449" s="36" t="str">
        <x:v>NEX</x:v>
      </x:c>
      <x:c r="B449" s="36"/>
      <x:c r="C449" s="38"/>
      <x:c r="D449" s="38"/>
      <x:c r="E449" s="36" t="str">
        <x:f>IF(OR(A449="",B449="",C449="",D449=""),"",A449&amp;"-"&amp;B449&amp;"-"&amp;TEXT(C449,"0000")&amp;"-"&amp;TEXT(D449,"0000"))</x:f>
      </x:c>
      <x:c r="F449" s="36" t="str">
        <x:v>R0</x:v>
      </x:c>
      <x:c r="G449" s="40"/>
      <x:c r="H449" s="40"/>
      <x:c r="I449" s="36"/>
      <x:c r="J449" s="36"/>
      <x:c r="K449" s="36"/>
      <x:c r="L449" s="44"/>
      <x:c r="M449" s="36" t="str">
        <x:v>MYR</x:v>
      </x:c>
      <x:c r="N449" s="36"/>
      <x:c r="O449" s="36"/>
      <x:c r="P449" s="40"/>
      <x:c r="Q449" s="36" t="str">
        <x:f>IF(P449="","",P449-TODAY())</x:f>
      </x:c>
      <x:c r="R449" s="36" t="str">
        <x:f>IF(E449="","",IF(X449="DUPLICATE","STOP — DUPLICATE",IF(OR(N449="Completed",N449="Cancelled",N449="Rejected",N449="Superseded"),"Closed",IF(P449="","No due date",IF(Q449&lt;0,"OVERDUE",IF(Q449&lt;=7,"DUE SOON","Open"))))))</x:f>
      </x:c>
      <x:c r="S449" s="36"/>
      <x:c r="T449" s="36"/>
      <x:c r="U449" s="36"/>
      <x:c r="V449" s="42"/>
      <x:c r="W449" s="36"/>
      <x:c r="X449" s="36" t="str">
        <x:f>IF(E449="","",IF(COUNTIF($E$7:$E$506,E449)&gt;1,"DUPLICATE","OK"))</x:f>
      </x:c>
    </x:row>
    <x:row r="450">
      <x:c r="A450" s="36" t="str">
        <x:v>NEX</x:v>
      </x:c>
      <x:c r="B450" s="36"/>
      <x:c r="C450" s="38"/>
      <x:c r="D450" s="38"/>
      <x:c r="E450" s="36" t="str">
        <x:f>IF(OR(A450="",B450="",C450="",D450=""),"",A450&amp;"-"&amp;B450&amp;"-"&amp;TEXT(C450,"0000")&amp;"-"&amp;TEXT(D450,"0000"))</x:f>
      </x:c>
      <x:c r="F450" s="36" t="str">
        <x:v>R0</x:v>
      </x:c>
      <x:c r="G450" s="40"/>
      <x:c r="H450" s="40"/>
      <x:c r="I450" s="36"/>
      <x:c r="J450" s="36"/>
      <x:c r="K450" s="36"/>
      <x:c r="L450" s="44"/>
      <x:c r="M450" s="36" t="str">
        <x:v>MYR</x:v>
      </x:c>
      <x:c r="N450" s="36"/>
      <x:c r="O450" s="36"/>
      <x:c r="P450" s="40"/>
      <x:c r="Q450" s="36" t="str">
        <x:f>IF(P450="","",P450-TODAY())</x:f>
      </x:c>
      <x:c r="R450" s="36" t="str">
        <x:f>IF(E450="","",IF(X450="DUPLICATE","STOP — DUPLICATE",IF(OR(N450="Completed",N450="Cancelled",N450="Rejected",N450="Superseded"),"Closed",IF(P450="","No due date",IF(Q450&lt;0,"OVERDUE",IF(Q450&lt;=7,"DUE SOON","Open"))))))</x:f>
      </x:c>
      <x:c r="S450" s="36"/>
      <x:c r="T450" s="36"/>
      <x:c r="U450" s="36"/>
      <x:c r="V450" s="42"/>
      <x:c r="W450" s="36"/>
      <x:c r="X450" s="36" t="str">
        <x:f>IF(E450="","",IF(COUNTIF($E$7:$E$506,E450)&gt;1,"DUPLICATE","OK"))</x:f>
      </x:c>
    </x:row>
    <x:row r="451">
      <x:c r="A451" s="36" t="str">
        <x:v>NEX</x:v>
      </x:c>
      <x:c r="B451" s="36"/>
      <x:c r="C451" s="38"/>
      <x:c r="D451" s="38"/>
      <x:c r="E451" s="36" t="str">
        <x:f>IF(OR(A451="",B451="",C451="",D451=""),"",A451&amp;"-"&amp;B451&amp;"-"&amp;TEXT(C451,"0000")&amp;"-"&amp;TEXT(D451,"0000"))</x:f>
      </x:c>
      <x:c r="F451" s="36" t="str">
        <x:v>R0</x:v>
      </x:c>
      <x:c r="G451" s="40"/>
      <x:c r="H451" s="40"/>
      <x:c r="I451" s="36"/>
      <x:c r="J451" s="36"/>
      <x:c r="K451" s="36"/>
      <x:c r="L451" s="44"/>
      <x:c r="M451" s="36" t="str">
        <x:v>MYR</x:v>
      </x:c>
      <x:c r="N451" s="36"/>
      <x:c r="O451" s="36"/>
      <x:c r="P451" s="40"/>
      <x:c r="Q451" s="36" t="str">
        <x:f>IF(P451="","",P451-TODAY())</x:f>
      </x:c>
      <x:c r="R451" s="36" t="str">
        <x:f>IF(E451="","",IF(X451="DUPLICATE","STOP — DUPLICATE",IF(OR(N451="Completed",N451="Cancelled",N451="Rejected",N451="Superseded"),"Closed",IF(P451="","No due date",IF(Q451&lt;0,"OVERDUE",IF(Q451&lt;=7,"DUE SOON","Open"))))))</x:f>
      </x:c>
      <x:c r="S451" s="36"/>
      <x:c r="T451" s="36"/>
      <x:c r="U451" s="36"/>
      <x:c r="V451" s="42"/>
      <x:c r="W451" s="36"/>
      <x:c r="X451" s="36" t="str">
        <x:f>IF(E451="","",IF(COUNTIF($E$7:$E$506,E451)&gt;1,"DUPLICATE","OK"))</x:f>
      </x:c>
    </x:row>
    <x:row r="452">
      <x:c r="A452" s="36" t="str">
        <x:v>NEX</x:v>
      </x:c>
      <x:c r="B452" s="36"/>
      <x:c r="C452" s="38"/>
      <x:c r="D452" s="38"/>
      <x:c r="E452" s="36" t="str">
        <x:f>IF(OR(A452="",B452="",C452="",D452=""),"",A452&amp;"-"&amp;B452&amp;"-"&amp;TEXT(C452,"0000")&amp;"-"&amp;TEXT(D452,"0000"))</x:f>
      </x:c>
      <x:c r="F452" s="36" t="str">
        <x:v>R0</x:v>
      </x:c>
      <x:c r="G452" s="40"/>
      <x:c r="H452" s="40"/>
      <x:c r="I452" s="36"/>
      <x:c r="J452" s="36"/>
      <x:c r="K452" s="36"/>
      <x:c r="L452" s="44"/>
      <x:c r="M452" s="36" t="str">
        <x:v>MYR</x:v>
      </x:c>
      <x:c r="N452" s="36"/>
      <x:c r="O452" s="36"/>
      <x:c r="P452" s="40"/>
      <x:c r="Q452" s="36" t="str">
        <x:f>IF(P452="","",P452-TODAY())</x:f>
      </x:c>
      <x:c r="R452" s="36" t="str">
        <x:f>IF(E452="","",IF(X452="DUPLICATE","STOP — DUPLICATE",IF(OR(N452="Completed",N452="Cancelled",N452="Rejected",N452="Superseded"),"Closed",IF(P452="","No due date",IF(Q452&lt;0,"OVERDUE",IF(Q452&lt;=7,"DUE SOON","Open"))))))</x:f>
      </x:c>
      <x:c r="S452" s="36"/>
      <x:c r="T452" s="36"/>
      <x:c r="U452" s="36"/>
      <x:c r="V452" s="42"/>
      <x:c r="W452" s="36"/>
      <x:c r="X452" s="36" t="str">
        <x:f>IF(E452="","",IF(COUNTIF($E$7:$E$506,E452)&gt;1,"DUPLICATE","OK"))</x:f>
      </x:c>
    </x:row>
    <x:row r="453">
      <x:c r="A453" s="36" t="str">
        <x:v>NEX</x:v>
      </x:c>
      <x:c r="B453" s="36"/>
      <x:c r="C453" s="38"/>
      <x:c r="D453" s="38"/>
      <x:c r="E453" s="36" t="str">
        <x:f>IF(OR(A453="",B453="",C453="",D453=""),"",A453&amp;"-"&amp;B453&amp;"-"&amp;TEXT(C453,"0000")&amp;"-"&amp;TEXT(D453,"0000"))</x:f>
      </x:c>
      <x:c r="F453" s="36" t="str">
        <x:v>R0</x:v>
      </x:c>
      <x:c r="G453" s="40"/>
      <x:c r="H453" s="40"/>
      <x:c r="I453" s="36"/>
      <x:c r="J453" s="36"/>
      <x:c r="K453" s="36"/>
      <x:c r="L453" s="44"/>
      <x:c r="M453" s="36" t="str">
        <x:v>MYR</x:v>
      </x:c>
      <x:c r="N453" s="36"/>
      <x:c r="O453" s="36"/>
      <x:c r="P453" s="40"/>
      <x:c r="Q453" s="36" t="str">
        <x:f>IF(P453="","",P453-TODAY())</x:f>
      </x:c>
      <x:c r="R453" s="36" t="str">
        <x:f>IF(E453="","",IF(X453="DUPLICATE","STOP — DUPLICATE",IF(OR(N453="Completed",N453="Cancelled",N453="Rejected",N453="Superseded"),"Closed",IF(P453="","No due date",IF(Q453&lt;0,"OVERDUE",IF(Q453&lt;=7,"DUE SOON","Open"))))))</x:f>
      </x:c>
      <x:c r="S453" s="36"/>
      <x:c r="T453" s="36"/>
      <x:c r="U453" s="36"/>
      <x:c r="V453" s="42"/>
      <x:c r="W453" s="36"/>
      <x:c r="X453" s="36" t="str">
        <x:f>IF(E453="","",IF(COUNTIF($E$7:$E$506,E453)&gt;1,"DUPLICATE","OK"))</x:f>
      </x:c>
    </x:row>
    <x:row r="454">
      <x:c r="A454" s="36" t="str">
        <x:v>NEX</x:v>
      </x:c>
      <x:c r="B454" s="36"/>
      <x:c r="C454" s="38"/>
      <x:c r="D454" s="38"/>
      <x:c r="E454" s="36" t="str">
        <x:f>IF(OR(A454="",B454="",C454="",D454=""),"",A454&amp;"-"&amp;B454&amp;"-"&amp;TEXT(C454,"0000")&amp;"-"&amp;TEXT(D454,"0000"))</x:f>
      </x:c>
      <x:c r="F454" s="36" t="str">
        <x:v>R0</x:v>
      </x:c>
      <x:c r="G454" s="40"/>
      <x:c r="H454" s="40"/>
      <x:c r="I454" s="36"/>
      <x:c r="J454" s="36"/>
      <x:c r="K454" s="36"/>
      <x:c r="L454" s="44"/>
      <x:c r="M454" s="36" t="str">
        <x:v>MYR</x:v>
      </x:c>
      <x:c r="N454" s="36"/>
      <x:c r="O454" s="36"/>
      <x:c r="P454" s="40"/>
      <x:c r="Q454" s="36" t="str">
        <x:f>IF(P454="","",P454-TODAY())</x:f>
      </x:c>
      <x:c r="R454" s="36" t="str">
        <x:f>IF(E454="","",IF(X454="DUPLICATE","STOP — DUPLICATE",IF(OR(N454="Completed",N454="Cancelled",N454="Rejected",N454="Superseded"),"Closed",IF(P454="","No due date",IF(Q454&lt;0,"OVERDUE",IF(Q454&lt;=7,"DUE SOON","Open"))))))</x:f>
      </x:c>
      <x:c r="S454" s="36"/>
      <x:c r="T454" s="36"/>
      <x:c r="U454" s="36"/>
      <x:c r="V454" s="42"/>
      <x:c r="W454" s="36"/>
      <x:c r="X454" s="36" t="str">
        <x:f>IF(E454="","",IF(COUNTIF($E$7:$E$506,E454)&gt;1,"DUPLICATE","OK"))</x:f>
      </x:c>
    </x:row>
    <x:row r="455">
      <x:c r="A455" s="36" t="str">
        <x:v>NEX</x:v>
      </x:c>
      <x:c r="B455" s="36"/>
      <x:c r="C455" s="38"/>
      <x:c r="D455" s="38"/>
      <x:c r="E455" s="36" t="str">
        <x:f>IF(OR(A455="",B455="",C455="",D455=""),"",A455&amp;"-"&amp;B455&amp;"-"&amp;TEXT(C455,"0000")&amp;"-"&amp;TEXT(D455,"0000"))</x:f>
      </x:c>
      <x:c r="F455" s="36" t="str">
        <x:v>R0</x:v>
      </x:c>
      <x:c r="G455" s="40"/>
      <x:c r="H455" s="40"/>
      <x:c r="I455" s="36"/>
      <x:c r="J455" s="36"/>
      <x:c r="K455" s="36"/>
      <x:c r="L455" s="44"/>
      <x:c r="M455" s="36" t="str">
        <x:v>MYR</x:v>
      </x:c>
      <x:c r="N455" s="36"/>
      <x:c r="O455" s="36"/>
      <x:c r="P455" s="40"/>
      <x:c r="Q455" s="36" t="str">
        <x:f>IF(P455="","",P455-TODAY())</x:f>
      </x:c>
      <x:c r="R455" s="36" t="str">
        <x:f>IF(E455="","",IF(X455="DUPLICATE","STOP — DUPLICATE",IF(OR(N455="Completed",N455="Cancelled",N455="Rejected",N455="Superseded"),"Closed",IF(P455="","No due date",IF(Q455&lt;0,"OVERDUE",IF(Q455&lt;=7,"DUE SOON","Open"))))))</x:f>
      </x:c>
      <x:c r="S455" s="36"/>
      <x:c r="T455" s="36"/>
      <x:c r="U455" s="36"/>
      <x:c r="V455" s="42"/>
      <x:c r="W455" s="36"/>
      <x:c r="X455" s="36" t="str">
        <x:f>IF(E455="","",IF(COUNTIF($E$7:$E$506,E455)&gt;1,"DUPLICATE","OK"))</x:f>
      </x:c>
    </x:row>
    <x:row r="456">
      <x:c r="A456" s="36" t="str">
        <x:v>NEX</x:v>
      </x:c>
      <x:c r="B456" s="36"/>
      <x:c r="C456" s="38"/>
      <x:c r="D456" s="38"/>
      <x:c r="E456" s="36" t="str">
        <x:f>IF(OR(A456="",B456="",C456="",D456=""),"",A456&amp;"-"&amp;B456&amp;"-"&amp;TEXT(C456,"0000")&amp;"-"&amp;TEXT(D456,"0000"))</x:f>
      </x:c>
      <x:c r="F456" s="36" t="str">
        <x:v>R0</x:v>
      </x:c>
      <x:c r="G456" s="40"/>
      <x:c r="H456" s="40"/>
      <x:c r="I456" s="36"/>
      <x:c r="J456" s="36"/>
      <x:c r="K456" s="36"/>
      <x:c r="L456" s="44"/>
      <x:c r="M456" s="36" t="str">
        <x:v>MYR</x:v>
      </x:c>
      <x:c r="N456" s="36"/>
      <x:c r="O456" s="36"/>
      <x:c r="P456" s="40"/>
      <x:c r="Q456" s="36" t="str">
        <x:f>IF(P456="","",P456-TODAY())</x:f>
      </x:c>
      <x:c r="R456" s="36" t="str">
        <x:f>IF(E456="","",IF(X456="DUPLICATE","STOP — DUPLICATE",IF(OR(N456="Completed",N456="Cancelled",N456="Rejected",N456="Superseded"),"Closed",IF(P456="","No due date",IF(Q456&lt;0,"OVERDUE",IF(Q456&lt;=7,"DUE SOON","Open"))))))</x:f>
      </x:c>
      <x:c r="S456" s="36"/>
      <x:c r="T456" s="36"/>
      <x:c r="U456" s="36"/>
      <x:c r="V456" s="42"/>
      <x:c r="W456" s="36"/>
      <x:c r="X456" s="36" t="str">
        <x:f>IF(E456="","",IF(COUNTIF($E$7:$E$506,E456)&gt;1,"DUPLICATE","OK"))</x:f>
      </x:c>
    </x:row>
    <x:row r="457">
      <x:c r="A457" s="36" t="str">
        <x:v>NEX</x:v>
      </x:c>
      <x:c r="B457" s="36"/>
      <x:c r="C457" s="38"/>
      <x:c r="D457" s="38"/>
      <x:c r="E457" s="36" t="str">
        <x:f>IF(OR(A457="",B457="",C457="",D457=""),"",A457&amp;"-"&amp;B457&amp;"-"&amp;TEXT(C457,"0000")&amp;"-"&amp;TEXT(D457,"0000"))</x:f>
      </x:c>
      <x:c r="F457" s="36" t="str">
        <x:v>R0</x:v>
      </x:c>
      <x:c r="G457" s="40"/>
      <x:c r="H457" s="40"/>
      <x:c r="I457" s="36"/>
      <x:c r="J457" s="36"/>
      <x:c r="K457" s="36"/>
      <x:c r="L457" s="44"/>
      <x:c r="M457" s="36" t="str">
        <x:v>MYR</x:v>
      </x:c>
      <x:c r="N457" s="36"/>
      <x:c r="O457" s="36"/>
      <x:c r="P457" s="40"/>
      <x:c r="Q457" s="36" t="str">
        <x:f>IF(P457="","",P457-TODAY())</x:f>
      </x:c>
      <x:c r="R457" s="36" t="str">
        <x:f>IF(E457="","",IF(X457="DUPLICATE","STOP — DUPLICATE",IF(OR(N457="Completed",N457="Cancelled",N457="Rejected",N457="Superseded"),"Closed",IF(P457="","No due date",IF(Q457&lt;0,"OVERDUE",IF(Q457&lt;=7,"DUE SOON","Open"))))))</x:f>
      </x:c>
      <x:c r="S457" s="36"/>
      <x:c r="T457" s="36"/>
      <x:c r="U457" s="36"/>
      <x:c r="V457" s="42"/>
      <x:c r="W457" s="36"/>
      <x:c r="X457" s="36" t="str">
        <x:f>IF(E457="","",IF(COUNTIF($E$7:$E$506,E457)&gt;1,"DUPLICATE","OK"))</x:f>
      </x:c>
    </x:row>
    <x:row r="458">
      <x:c r="A458" s="36" t="str">
        <x:v>NEX</x:v>
      </x:c>
      <x:c r="B458" s="36"/>
      <x:c r="C458" s="38"/>
      <x:c r="D458" s="38"/>
      <x:c r="E458" s="36" t="str">
        <x:f>IF(OR(A458="",B458="",C458="",D458=""),"",A458&amp;"-"&amp;B458&amp;"-"&amp;TEXT(C458,"0000")&amp;"-"&amp;TEXT(D458,"0000"))</x:f>
      </x:c>
      <x:c r="F458" s="36" t="str">
        <x:v>R0</x:v>
      </x:c>
      <x:c r="G458" s="40"/>
      <x:c r="H458" s="40"/>
      <x:c r="I458" s="36"/>
      <x:c r="J458" s="36"/>
      <x:c r="K458" s="36"/>
      <x:c r="L458" s="44"/>
      <x:c r="M458" s="36" t="str">
        <x:v>MYR</x:v>
      </x:c>
      <x:c r="N458" s="36"/>
      <x:c r="O458" s="36"/>
      <x:c r="P458" s="40"/>
      <x:c r="Q458" s="36" t="str">
        <x:f>IF(P458="","",P458-TODAY())</x:f>
      </x:c>
      <x:c r="R458" s="36" t="str">
        <x:f>IF(E458="","",IF(X458="DUPLICATE","STOP — DUPLICATE",IF(OR(N458="Completed",N458="Cancelled",N458="Rejected",N458="Superseded"),"Closed",IF(P458="","No due date",IF(Q458&lt;0,"OVERDUE",IF(Q458&lt;=7,"DUE SOON","Open"))))))</x:f>
      </x:c>
      <x:c r="S458" s="36"/>
      <x:c r="T458" s="36"/>
      <x:c r="U458" s="36"/>
      <x:c r="V458" s="42"/>
      <x:c r="W458" s="36"/>
      <x:c r="X458" s="36" t="str">
        <x:f>IF(E458="","",IF(COUNTIF($E$7:$E$506,E458)&gt;1,"DUPLICATE","OK"))</x:f>
      </x:c>
    </x:row>
    <x:row r="459">
      <x:c r="A459" s="36" t="str">
        <x:v>NEX</x:v>
      </x:c>
      <x:c r="B459" s="36"/>
      <x:c r="C459" s="38"/>
      <x:c r="D459" s="38"/>
      <x:c r="E459" s="36" t="str">
        <x:f>IF(OR(A459="",B459="",C459="",D459=""),"",A459&amp;"-"&amp;B459&amp;"-"&amp;TEXT(C459,"0000")&amp;"-"&amp;TEXT(D459,"0000"))</x:f>
      </x:c>
      <x:c r="F459" s="36" t="str">
        <x:v>R0</x:v>
      </x:c>
      <x:c r="G459" s="40"/>
      <x:c r="H459" s="40"/>
      <x:c r="I459" s="36"/>
      <x:c r="J459" s="36"/>
      <x:c r="K459" s="36"/>
      <x:c r="L459" s="44"/>
      <x:c r="M459" s="36" t="str">
        <x:v>MYR</x:v>
      </x:c>
      <x:c r="N459" s="36"/>
      <x:c r="O459" s="36"/>
      <x:c r="P459" s="40"/>
      <x:c r="Q459" s="36" t="str">
        <x:f>IF(P459="","",P459-TODAY())</x:f>
      </x:c>
      <x:c r="R459" s="36" t="str">
        <x:f>IF(E459="","",IF(X459="DUPLICATE","STOP — DUPLICATE",IF(OR(N459="Completed",N459="Cancelled",N459="Rejected",N459="Superseded"),"Closed",IF(P459="","No due date",IF(Q459&lt;0,"OVERDUE",IF(Q459&lt;=7,"DUE SOON","Open"))))))</x:f>
      </x:c>
      <x:c r="S459" s="36"/>
      <x:c r="T459" s="36"/>
      <x:c r="U459" s="36"/>
      <x:c r="V459" s="42"/>
      <x:c r="W459" s="36"/>
      <x:c r="X459" s="36" t="str">
        <x:f>IF(E459="","",IF(COUNTIF($E$7:$E$506,E459)&gt;1,"DUPLICATE","OK"))</x:f>
      </x:c>
    </x:row>
    <x:row r="460">
      <x:c r="A460" s="36" t="str">
        <x:v>NEX</x:v>
      </x:c>
      <x:c r="B460" s="36"/>
      <x:c r="C460" s="38"/>
      <x:c r="D460" s="38"/>
      <x:c r="E460" s="36" t="str">
        <x:f>IF(OR(A460="",B460="",C460="",D460=""),"",A460&amp;"-"&amp;B460&amp;"-"&amp;TEXT(C460,"0000")&amp;"-"&amp;TEXT(D460,"0000"))</x:f>
      </x:c>
      <x:c r="F460" s="36" t="str">
        <x:v>R0</x:v>
      </x:c>
      <x:c r="G460" s="40"/>
      <x:c r="H460" s="40"/>
      <x:c r="I460" s="36"/>
      <x:c r="J460" s="36"/>
      <x:c r="K460" s="36"/>
      <x:c r="L460" s="44"/>
      <x:c r="M460" s="36" t="str">
        <x:v>MYR</x:v>
      </x:c>
      <x:c r="N460" s="36"/>
      <x:c r="O460" s="36"/>
      <x:c r="P460" s="40"/>
      <x:c r="Q460" s="36" t="str">
        <x:f>IF(P460="","",P460-TODAY())</x:f>
      </x:c>
      <x:c r="R460" s="36" t="str">
        <x:f>IF(E460="","",IF(X460="DUPLICATE","STOP — DUPLICATE",IF(OR(N460="Completed",N460="Cancelled",N460="Rejected",N460="Superseded"),"Closed",IF(P460="","No due date",IF(Q460&lt;0,"OVERDUE",IF(Q460&lt;=7,"DUE SOON","Open"))))))</x:f>
      </x:c>
      <x:c r="S460" s="36"/>
      <x:c r="T460" s="36"/>
      <x:c r="U460" s="36"/>
      <x:c r="V460" s="42"/>
      <x:c r="W460" s="36"/>
      <x:c r="X460" s="36" t="str">
        <x:f>IF(E460="","",IF(COUNTIF($E$7:$E$506,E460)&gt;1,"DUPLICATE","OK"))</x:f>
      </x:c>
    </x:row>
    <x:row r="461">
      <x:c r="A461" s="36" t="str">
        <x:v>NEX</x:v>
      </x:c>
      <x:c r="B461" s="36"/>
      <x:c r="C461" s="38"/>
      <x:c r="D461" s="38"/>
      <x:c r="E461" s="36" t="str">
        <x:f>IF(OR(A461="",B461="",C461="",D461=""),"",A461&amp;"-"&amp;B461&amp;"-"&amp;TEXT(C461,"0000")&amp;"-"&amp;TEXT(D461,"0000"))</x:f>
      </x:c>
      <x:c r="F461" s="36" t="str">
        <x:v>R0</x:v>
      </x:c>
      <x:c r="G461" s="40"/>
      <x:c r="H461" s="40"/>
      <x:c r="I461" s="36"/>
      <x:c r="J461" s="36"/>
      <x:c r="K461" s="36"/>
      <x:c r="L461" s="44"/>
      <x:c r="M461" s="36" t="str">
        <x:v>MYR</x:v>
      </x:c>
      <x:c r="N461" s="36"/>
      <x:c r="O461" s="36"/>
      <x:c r="P461" s="40"/>
      <x:c r="Q461" s="36" t="str">
        <x:f>IF(P461="","",P461-TODAY())</x:f>
      </x:c>
      <x:c r="R461" s="36" t="str">
        <x:f>IF(E461="","",IF(X461="DUPLICATE","STOP — DUPLICATE",IF(OR(N461="Completed",N461="Cancelled",N461="Rejected",N461="Superseded"),"Closed",IF(P461="","No due date",IF(Q461&lt;0,"OVERDUE",IF(Q461&lt;=7,"DUE SOON","Open"))))))</x:f>
      </x:c>
      <x:c r="S461" s="36"/>
      <x:c r="T461" s="36"/>
      <x:c r="U461" s="36"/>
      <x:c r="V461" s="42"/>
      <x:c r="W461" s="36"/>
      <x:c r="X461" s="36" t="str">
        <x:f>IF(E461="","",IF(COUNTIF($E$7:$E$506,E461)&gt;1,"DUPLICATE","OK"))</x:f>
      </x:c>
    </x:row>
    <x:row r="462">
      <x:c r="A462" s="36" t="str">
        <x:v>NEX</x:v>
      </x:c>
      <x:c r="B462" s="36"/>
      <x:c r="C462" s="38"/>
      <x:c r="D462" s="38"/>
      <x:c r="E462" s="36" t="str">
        <x:f>IF(OR(A462="",B462="",C462="",D462=""),"",A462&amp;"-"&amp;B462&amp;"-"&amp;TEXT(C462,"0000")&amp;"-"&amp;TEXT(D462,"0000"))</x:f>
      </x:c>
      <x:c r="F462" s="36" t="str">
        <x:v>R0</x:v>
      </x:c>
      <x:c r="G462" s="40"/>
      <x:c r="H462" s="40"/>
      <x:c r="I462" s="36"/>
      <x:c r="J462" s="36"/>
      <x:c r="K462" s="36"/>
      <x:c r="L462" s="44"/>
      <x:c r="M462" s="36" t="str">
        <x:v>MYR</x:v>
      </x:c>
      <x:c r="N462" s="36"/>
      <x:c r="O462" s="36"/>
      <x:c r="P462" s="40"/>
      <x:c r="Q462" s="36" t="str">
        <x:f>IF(P462="","",P462-TODAY())</x:f>
      </x:c>
      <x:c r="R462" s="36" t="str">
        <x:f>IF(E462="","",IF(X462="DUPLICATE","STOP — DUPLICATE",IF(OR(N462="Completed",N462="Cancelled",N462="Rejected",N462="Superseded"),"Closed",IF(P462="","No due date",IF(Q462&lt;0,"OVERDUE",IF(Q462&lt;=7,"DUE SOON","Open"))))))</x:f>
      </x:c>
      <x:c r="S462" s="36"/>
      <x:c r="T462" s="36"/>
      <x:c r="U462" s="36"/>
      <x:c r="V462" s="42"/>
      <x:c r="W462" s="36"/>
      <x:c r="X462" s="36" t="str">
        <x:f>IF(E462="","",IF(COUNTIF($E$7:$E$506,E462)&gt;1,"DUPLICATE","OK"))</x:f>
      </x:c>
    </x:row>
    <x:row r="463">
      <x:c r="A463" s="36" t="str">
        <x:v>NEX</x:v>
      </x:c>
      <x:c r="B463" s="36"/>
      <x:c r="C463" s="38"/>
      <x:c r="D463" s="38"/>
      <x:c r="E463" s="36" t="str">
        <x:f>IF(OR(A463="",B463="",C463="",D463=""),"",A463&amp;"-"&amp;B463&amp;"-"&amp;TEXT(C463,"0000")&amp;"-"&amp;TEXT(D463,"0000"))</x:f>
      </x:c>
      <x:c r="F463" s="36" t="str">
        <x:v>R0</x:v>
      </x:c>
      <x:c r="G463" s="40"/>
      <x:c r="H463" s="40"/>
      <x:c r="I463" s="36"/>
      <x:c r="J463" s="36"/>
      <x:c r="K463" s="36"/>
      <x:c r="L463" s="44"/>
      <x:c r="M463" s="36" t="str">
        <x:v>MYR</x:v>
      </x:c>
      <x:c r="N463" s="36"/>
      <x:c r="O463" s="36"/>
      <x:c r="P463" s="40"/>
      <x:c r="Q463" s="36" t="str">
        <x:f>IF(P463="","",P463-TODAY())</x:f>
      </x:c>
      <x:c r="R463" s="36" t="str">
        <x:f>IF(E463="","",IF(X463="DUPLICATE","STOP — DUPLICATE",IF(OR(N463="Completed",N463="Cancelled",N463="Rejected",N463="Superseded"),"Closed",IF(P463="","No due date",IF(Q463&lt;0,"OVERDUE",IF(Q463&lt;=7,"DUE SOON","Open"))))))</x:f>
      </x:c>
      <x:c r="S463" s="36"/>
      <x:c r="T463" s="36"/>
      <x:c r="U463" s="36"/>
      <x:c r="V463" s="42"/>
      <x:c r="W463" s="36"/>
      <x:c r="X463" s="36" t="str">
        <x:f>IF(E463="","",IF(COUNTIF($E$7:$E$506,E463)&gt;1,"DUPLICATE","OK"))</x:f>
      </x:c>
    </x:row>
    <x:row r="464">
      <x:c r="A464" s="36" t="str">
        <x:v>NEX</x:v>
      </x:c>
      <x:c r="B464" s="36"/>
      <x:c r="C464" s="38"/>
      <x:c r="D464" s="38"/>
      <x:c r="E464" s="36" t="str">
        <x:f>IF(OR(A464="",B464="",C464="",D464=""),"",A464&amp;"-"&amp;B464&amp;"-"&amp;TEXT(C464,"0000")&amp;"-"&amp;TEXT(D464,"0000"))</x:f>
      </x:c>
      <x:c r="F464" s="36" t="str">
        <x:v>R0</x:v>
      </x:c>
      <x:c r="G464" s="40"/>
      <x:c r="H464" s="40"/>
      <x:c r="I464" s="36"/>
      <x:c r="J464" s="36"/>
      <x:c r="K464" s="36"/>
      <x:c r="L464" s="44"/>
      <x:c r="M464" s="36" t="str">
        <x:v>MYR</x:v>
      </x:c>
      <x:c r="N464" s="36"/>
      <x:c r="O464" s="36"/>
      <x:c r="P464" s="40"/>
      <x:c r="Q464" s="36" t="str">
        <x:f>IF(P464="","",P464-TODAY())</x:f>
      </x:c>
      <x:c r="R464" s="36" t="str">
        <x:f>IF(E464="","",IF(X464="DUPLICATE","STOP — DUPLICATE",IF(OR(N464="Completed",N464="Cancelled",N464="Rejected",N464="Superseded"),"Closed",IF(P464="","No due date",IF(Q464&lt;0,"OVERDUE",IF(Q464&lt;=7,"DUE SOON","Open"))))))</x:f>
      </x:c>
      <x:c r="S464" s="36"/>
      <x:c r="T464" s="36"/>
      <x:c r="U464" s="36"/>
      <x:c r="V464" s="42"/>
      <x:c r="W464" s="36"/>
      <x:c r="X464" s="36" t="str">
        <x:f>IF(E464="","",IF(COUNTIF($E$7:$E$506,E464)&gt;1,"DUPLICATE","OK"))</x:f>
      </x:c>
    </x:row>
    <x:row r="465">
      <x:c r="A465" s="36" t="str">
        <x:v>NEX</x:v>
      </x:c>
      <x:c r="B465" s="36"/>
      <x:c r="C465" s="38"/>
      <x:c r="D465" s="38"/>
      <x:c r="E465" s="36" t="str">
        <x:f>IF(OR(A465="",B465="",C465="",D465=""),"",A465&amp;"-"&amp;B465&amp;"-"&amp;TEXT(C465,"0000")&amp;"-"&amp;TEXT(D465,"0000"))</x:f>
      </x:c>
      <x:c r="F465" s="36" t="str">
        <x:v>R0</x:v>
      </x:c>
      <x:c r="G465" s="40"/>
      <x:c r="H465" s="40"/>
      <x:c r="I465" s="36"/>
      <x:c r="J465" s="36"/>
      <x:c r="K465" s="36"/>
      <x:c r="L465" s="44"/>
      <x:c r="M465" s="36" t="str">
        <x:v>MYR</x:v>
      </x:c>
      <x:c r="N465" s="36"/>
      <x:c r="O465" s="36"/>
      <x:c r="P465" s="40"/>
      <x:c r="Q465" s="36" t="str">
        <x:f>IF(P465="","",P465-TODAY())</x:f>
      </x:c>
      <x:c r="R465" s="36" t="str">
        <x:f>IF(E465="","",IF(X465="DUPLICATE","STOP — DUPLICATE",IF(OR(N465="Completed",N465="Cancelled",N465="Rejected",N465="Superseded"),"Closed",IF(P465="","No due date",IF(Q465&lt;0,"OVERDUE",IF(Q465&lt;=7,"DUE SOON","Open"))))))</x:f>
      </x:c>
      <x:c r="S465" s="36"/>
      <x:c r="T465" s="36"/>
      <x:c r="U465" s="36"/>
      <x:c r="V465" s="42"/>
      <x:c r="W465" s="36"/>
      <x:c r="X465" s="36" t="str">
        <x:f>IF(E465="","",IF(COUNTIF($E$7:$E$506,E465)&gt;1,"DUPLICATE","OK"))</x:f>
      </x:c>
    </x:row>
    <x:row r="466">
      <x:c r="A466" s="36" t="str">
        <x:v>NEX</x:v>
      </x:c>
      <x:c r="B466" s="36"/>
      <x:c r="C466" s="38"/>
      <x:c r="D466" s="38"/>
      <x:c r="E466" s="36" t="str">
        <x:f>IF(OR(A466="",B466="",C466="",D466=""),"",A466&amp;"-"&amp;B466&amp;"-"&amp;TEXT(C466,"0000")&amp;"-"&amp;TEXT(D466,"0000"))</x:f>
      </x:c>
      <x:c r="F466" s="36" t="str">
        <x:v>R0</x:v>
      </x:c>
      <x:c r="G466" s="40"/>
      <x:c r="H466" s="40"/>
      <x:c r="I466" s="36"/>
      <x:c r="J466" s="36"/>
      <x:c r="K466" s="36"/>
      <x:c r="L466" s="44"/>
      <x:c r="M466" s="36" t="str">
        <x:v>MYR</x:v>
      </x:c>
      <x:c r="N466" s="36"/>
      <x:c r="O466" s="36"/>
      <x:c r="P466" s="40"/>
      <x:c r="Q466" s="36" t="str">
        <x:f>IF(P466="","",P466-TODAY())</x:f>
      </x:c>
      <x:c r="R466" s="36" t="str">
        <x:f>IF(E466="","",IF(X466="DUPLICATE","STOP — DUPLICATE",IF(OR(N466="Completed",N466="Cancelled",N466="Rejected",N466="Superseded"),"Closed",IF(P466="","No due date",IF(Q466&lt;0,"OVERDUE",IF(Q466&lt;=7,"DUE SOON","Open"))))))</x:f>
      </x:c>
      <x:c r="S466" s="36"/>
      <x:c r="T466" s="36"/>
      <x:c r="U466" s="36"/>
      <x:c r="V466" s="42"/>
      <x:c r="W466" s="36"/>
      <x:c r="X466" s="36" t="str">
        <x:f>IF(E466="","",IF(COUNTIF($E$7:$E$506,E466)&gt;1,"DUPLICATE","OK"))</x:f>
      </x:c>
    </x:row>
    <x:row r="467">
      <x:c r="A467" s="36" t="str">
        <x:v>NEX</x:v>
      </x:c>
      <x:c r="B467" s="36"/>
      <x:c r="C467" s="38"/>
      <x:c r="D467" s="38"/>
      <x:c r="E467" s="36" t="str">
        <x:f>IF(OR(A467="",B467="",C467="",D467=""),"",A467&amp;"-"&amp;B467&amp;"-"&amp;TEXT(C467,"0000")&amp;"-"&amp;TEXT(D467,"0000"))</x:f>
      </x:c>
      <x:c r="F467" s="36" t="str">
        <x:v>R0</x:v>
      </x:c>
      <x:c r="G467" s="40"/>
      <x:c r="H467" s="40"/>
      <x:c r="I467" s="36"/>
      <x:c r="J467" s="36"/>
      <x:c r="K467" s="36"/>
      <x:c r="L467" s="44"/>
      <x:c r="M467" s="36" t="str">
        <x:v>MYR</x:v>
      </x:c>
      <x:c r="N467" s="36"/>
      <x:c r="O467" s="36"/>
      <x:c r="P467" s="40"/>
      <x:c r="Q467" s="36" t="str">
        <x:f>IF(P467="","",P467-TODAY())</x:f>
      </x:c>
      <x:c r="R467" s="36" t="str">
        <x:f>IF(E467="","",IF(X467="DUPLICATE","STOP — DUPLICATE",IF(OR(N467="Completed",N467="Cancelled",N467="Rejected",N467="Superseded"),"Closed",IF(P467="","No due date",IF(Q467&lt;0,"OVERDUE",IF(Q467&lt;=7,"DUE SOON","Open"))))))</x:f>
      </x:c>
      <x:c r="S467" s="36"/>
      <x:c r="T467" s="36"/>
      <x:c r="U467" s="36"/>
      <x:c r="V467" s="42"/>
      <x:c r="W467" s="36"/>
      <x:c r="X467" s="36" t="str">
        <x:f>IF(E467="","",IF(COUNTIF($E$7:$E$506,E467)&gt;1,"DUPLICATE","OK"))</x:f>
      </x:c>
    </x:row>
    <x:row r="468">
      <x:c r="A468" s="36" t="str">
        <x:v>NEX</x:v>
      </x:c>
      <x:c r="B468" s="36"/>
      <x:c r="C468" s="38"/>
      <x:c r="D468" s="38"/>
      <x:c r="E468" s="36" t="str">
        <x:f>IF(OR(A468="",B468="",C468="",D468=""),"",A468&amp;"-"&amp;B468&amp;"-"&amp;TEXT(C468,"0000")&amp;"-"&amp;TEXT(D468,"0000"))</x:f>
      </x:c>
      <x:c r="F468" s="36" t="str">
        <x:v>R0</x:v>
      </x:c>
      <x:c r="G468" s="40"/>
      <x:c r="H468" s="40"/>
      <x:c r="I468" s="36"/>
      <x:c r="J468" s="36"/>
      <x:c r="K468" s="36"/>
      <x:c r="L468" s="44"/>
      <x:c r="M468" s="36" t="str">
        <x:v>MYR</x:v>
      </x:c>
      <x:c r="N468" s="36"/>
      <x:c r="O468" s="36"/>
      <x:c r="P468" s="40"/>
      <x:c r="Q468" s="36" t="str">
        <x:f>IF(P468="","",P468-TODAY())</x:f>
      </x:c>
      <x:c r="R468" s="36" t="str">
        <x:f>IF(E468="","",IF(X468="DUPLICATE","STOP — DUPLICATE",IF(OR(N468="Completed",N468="Cancelled",N468="Rejected",N468="Superseded"),"Closed",IF(P468="","No due date",IF(Q468&lt;0,"OVERDUE",IF(Q468&lt;=7,"DUE SOON","Open"))))))</x:f>
      </x:c>
      <x:c r="S468" s="36"/>
      <x:c r="T468" s="36"/>
      <x:c r="U468" s="36"/>
      <x:c r="V468" s="42"/>
      <x:c r="W468" s="36"/>
      <x:c r="X468" s="36" t="str">
        <x:f>IF(E468="","",IF(COUNTIF($E$7:$E$506,E468)&gt;1,"DUPLICATE","OK"))</x:f>
      </x:c>
    </x:row>
    <x:row r="469">
      <x:c r="A469" s="36" t="str">
        <x:v>NEX</x:v>
      </x:c>
      <x:c r="B469" s="36"/>
      <x:c r="C469" s="38"/>
      <x:c r="D469" s="38"/>
      <x:c r="E469" s="36" t="str">
        <x:f>IF(OR(A469="",B469="",C469="",D469=""),"",A469&amp;"-"&amp;B469&amp;"-"&amp;TEXT(C469,"0000")&amp;"-"&amp;TEXT(D469,"0000"))</x:f>
      </x:c>
      <x:c r="F469" s="36" t="str">
        <x:v>R0</x:v>
      </x:c>
      <x:c r="G469" s="40"/>
      <x:c r="H469" s="40"/>
      <x:c r="I469" s="36"/>
      <x:c r="J469" s="36"/>
      <x:c r="K469" s="36"/>
      <x:c r="L469" s="44"/>
      <x:c r="M469" s="36" t="str">
        <x:v>MYR</x:v>
      </x:c>
      <x:c r="N469" s="36"/>
      <x:c r="O469" s="36"/>
      <x:c r="P469" s="40"/>
      <x:c r="Q469" s="36" t="str">
        <x:f>IF(P469="","",P469-TODAY())</x:f>
      </x:c>
      <x:c r="R469" s="36" t="str">
        <x:f>IF(E469="","",IF(X469="DUPLICATE","STOP — DUPLICATE",IF(OR(N469="Completed",N469="Cancelled",N469="Rejected",N469="Superseded"),"Closed",IF(P469="","No due date",IF(Q469&lt;0,"OVERDUE",IF(Q469&lt;=7,"DUE SOON","Open"))))))</x:f>
      </x:c>
      <x:c r="S469" s="36"/>
      <x:c r="T469" s="36"/>
      <x:c r="U469" s="36"/>
      <x:c r="V469" s="42"/>
      <x:c r="W469" s="36"/>
      <x:c r="X469" s="36" t="str">
        <x:f>IF(E469="","",IF(COUNTIF($E$7:$E$506,E469)&gt;1,"DUPLICATE","OK"))</x:f>
      </x:c>
    </x:row>
    <x:row r="470">
      <x:c r="A470" s="36" t="str">
        <x:v>NEX</x:v>
      </x:c>
      <x:c r="B470" s="36"/>
      <x:c r="C470" s="38"/>
      <x:c r="D470" s="38"/>
      <x:c r="E470" s="36" t="str">
        <x:f>IF(OR(A470="",B470="",C470="",D470=""),"",A470&amp;"-"&amp;B470&amp;"-"&amp;TEXT(C470,"0000")&amp;"-"&amp;TEXT(D470,"0000"))</x:f>
      </x:c>
      <x:c r="F470" s="36" t="str">
        <x:v>R0</x:v>
      </x:c>
      <x:c r="G470" s="40"/>
      <x:c r="H470" s="40"/>
      <x:c r="I470" s="36"/>
      <x:c r="J470" s="36"/>
      <x:c r="K470" s="36"/>
      <x:c r="L470" s="44"/>
      <x:c r="M470" s="36" t="str">
        <x:v>MYR</x:v>
      </x:c>
      <x:c r="N470" s="36"/>
      <x:c r="O470" s="36"/>
      <x:c r="P470" s="40"/>
      <x:c r="Q470" s="36" t="str">
        <x:f>IF(P470="","",P470-TODAY())</x:f>
      </x:c>
      <x:c r="R470" s="36" t="str">
        <x:f>IF(E470="","",IF(X470="DUPLICATE","STOP — DUPLICATE",IF(OR(N470="Completed",N470="Cancelled",N470="Rejected",N470="Superseded"),"Closed",IF(P470="","No due date",IF(Q470&lt;0,"OVERDUE",IF(Q470&lt;=7,"DUE SOON","Open"))))))</x:f>
      </x:c>
      <x:c r="S470" s="36"/>
      <x:c r="T470" s="36"/>
      <x:c r="U470" s="36"/>
      <x:c r="V470" s="42"/>
      <x:c r="W470" s="36"/>
      <x:c r="X470" s="36" t="str">
        <x:f>IF(E470="","",IF(COUNTIF($E$7:$E$506,E470)&gt;1,"DUPLICATE","OK"))</x:f>
      </x:c>
    </x:row>
    <x:row r="471">
      <x:c r="A471" s="36" t="str">
        <x:v>NEX</x:v>
      </x:c>
      <x:c r="B471" s="36"/>
      <x:c r="C471" s="38"/>
      <x:c r="D471" s="38"/>
      <x:c r="E471" s="36" t="str">
        <x:f>IF(OR(A471="",B471="",C471="",D471=""),"",A471&amp;"-"&amp;B471&amp;"-"&amp;TEXT(C471,"0000")&amp;"-"&amp;TEXT(D471,"0000"))</x:f>
      </x:c>
      <x:c r="F471" s="36" t="str">
        <x:v>R0</x:v>
      </x:c>
      <x:c r="G471" s="40"/>
      <x:c r="H471" s="40"/>
      <x:c r="I471" s="36"/>
      <x:c r="J471" s="36"/>
      <x:c r="K471" s="36"/>
      <x:c r="L471" s="44"/>
      <x:c r="M471" s="36" t="str">
        <x:v>MYR</x:v>
      </x:c>
      <x:c r="N471" s="36"/>
      <x:c r="O471" s="36"/>
      <x:c r="P471" s="40"/>
      <x:c r="Q471" s="36" t="str">
        <x:f>IF(P471="","",P471-TODAY())</x:f>
      </x:c>
      <x:c r="R471" s="36" t="str">
        <x:f>IF(E471="","",IF(X471="DUPLICATE","STOP — DUPLICATE",IF(OR(N471="Completed",N471="Cancelled",N471="Rejected",N471="Superseded"),"Closed",IF(P471="","No due date",IF(Q471&lt;0,"OVERDUE",IF(Q471&lt;=7,"DUE SOON","Open"))))))</x:f>
      </x:c>
      <x:c r="S471" s="36"/>
      <x:c r="T471" s="36"/>
      <x:c r="U471" s="36"/>
      <x:c r="V471" s="42"/>
      <x:c r="W471" s="36"/>
      <x:c r="X471" s="36" t="str">
        <x:f>IF(E471="","",IF(COUNTIF($E$7:$E$506,E471)&gt;1,"DUPLICATE","OK"))</x:f>
      </x:c>
    </x:row>
    <x:row r="472">
      <x:c r="A472" s="36" t="str">
        <x:v>NEX</x:v>
      </x:c>
      <x:c r="B472" s="36"/>
      <x:c r="C472" s="38"/>
      <x:c r="D472" s="38"/>
      <x:c r="E472" s="36" t="str">
        <x:f>IF(OR(A472="",B472="",C472="",D472=""),"",A472&amp;"-"&amp;B472&amp;"-"&amp;TEXT(C472,"0000")&amp;"-"&amp;TEXT(D472,"0000"))</x:f>
      </x:c>
      <x:c r="F472" s="36" t="str">
        <x:v>R0</x:v>
      </x:c>
      <x:c r="G472" s="40"/>
      <x:c r="H472" s="40"/>
      <x:c r="I472" s="36"/>
      <x:c r="J472" s="36"/>
      <x:c r="K472" s="36"/>
      <x:c r="L472" s="44"/>
      <x:c r="M472" s="36" t="str">
        <x:v>MYR</x:v>
      </x:c>
      <x:c r="N472" s="36"/>
      <x:c r="O472" s="36"/>
      <x:c r="P472" s="40"/>
      <x:c r="Q472" s="36" t="str">
        <x:f>IF(P472="","",P472-TODAY())</x:f>
      </x:c>
      <x:c r="R472" s="36" t="str">
        <x:f>IF(E472="","",IF(X472="DUPLICATE","STOP — DUPLICATE",IF(OR(N472="Completed",N472="Cancelled",N472="Rejected",N472="Superseded"),"Closed",IF(P472="","No due date",IF(Q472&lt;0,"OVERDUE",IF(Q472&lt;=7,"DUE SOON","Open"))))))</x:f>
      </x:c>
      <x:c r="S472" s="36"/>
      <x:c r="T472" s="36"/>
      <x:c r="U472" s="36"/>
      <x:c r="V472" s="42"/>
      <x:c r="W472" s="36"/>
      <x:c r="X472" s="36" t="str">
        <x:f>IF(E472="","",IF(COUNTIF($E$7:$E$506,E472)&gt;1,"DUPLICATE","OK"))</x:f>
      </x:c>
    </x:row>
    <x:row r="473">
      <x:c r="A473" s="36" t="str">
        <x:v>NEX</x:v>
      </x:c>
      <x:c r="B473" s="36"/>
      <x:c r="C473" s="38"/>
      <x:c r="D473" s="38"/>
      <x:c r="E473" s="36" t="str">
        <x:f>IF(OR(A473="",B473="",C473="",D473=""),"",A473&amp;"-"&amp;B473&amp;"-"&amp;TEXT(C473,"0000")&amp;"-"&amp;TEXT(D473,"0000"))</x:f>
      </x:c>
      <x:c r="F473" s="36" t="str">
        <x:v>R0</x:v>
      </x:c>
      <x:c r="G473" s="40"/>
      <x:c r="H473" s="40"/>
      <x:c r="I473" s="36"/>
      <x:c r="J473" s="36"/>
      <x:c r="K473" s="36"/>
      <x:c r="L473" s="44"/>
      <x:c r="M473" s="36" t="str">
        <x:v>MYR</x:v>
      </x:c>
      <x:c r="N473" s="36"/>
      <x:c r="O473" s="36"/>
      <x:c r="P473" s="40"/>
      <x:c r="Q473" s="36" t="str">
        <x:f>IF(P473="","",P473-TODAY())</x:f>
      </x:c>
      <x:c r="R473" s="36" t="str">
        <x:f>IF(E473="","",IF(X473="DUPLICATE","STOP — DUPLICATE",IF(OR(N473="Completed",N473="Cancelled",N473="Rejected",N473="Superseded"),"Closed",IF(P473="","No due date",IF(Q473&lt;0,"OVERDUE",IF(Q473&lt;=7,"DUE SOON","Open"))))))</x:f>
      </x:c>
      <x:c r="S473" s="36"/>
      <x:c r="T473" s="36"/>
      <x:c r="U473" s="36"/>
      <x:c r="V473" s="42"/>
      <x:c r="W473" s="36"/>
      <x:c r="X473" s="36" t="str">
        <x:f>IF(E473="","",IF(COUNTIF($E$7:$E$506,E473)&gt;1,"DUPLICATE","OK"))</x:f>
      </x:c>
    </x:row>
    <x:row r="474">
      <x:c r="A474" s="36" t="str">
        <x:v>NEX</x:v>
      </x:c>
      <x:c r="B474" s="36"/>
      <x:c r="C474" s="38"/>
      <x:c r="D474" s="38"/>
      <x:c r="E474" s="36" t="str">
        <x:f>IF(OR(A474="",B474="",C474="",D474=""),"",A474&amp;"-"&amp;B474&amp;"-"&amp;TEXT(C474,"0000")&amp;"-"&amp;TEXT(D474,"0000"))</x:f>
      </x:c>
      <x:c r="F474" s="36" t="str">
        <x:v>R0</x:v>
      </x:c>
      <x:c r="G474" s="40"/>
      <x:c r="H474" s="40"/>
      <x:c r="I474" s="36"/>
      <x:c r="J474" s="36"/>
      <x:c r="K474" s="36"/>
      <x:c r="L474" s="44"/>
      <x:c r="M474" s="36" t="str">
        <x:v>MYR</x:v>
      </x:c>
      <x:c r="N474" s="36"/>
      <x:c r="O474" s="36"/>
      <x:c r="P474" s="40"/>
      <x:c r="Q474" s="36" t="str">
        <x:f>IF(P474="","",P474-TODAY())</x:f>
      </x:c>
      <x:c r="R474" s="36" t="str">
        <x:f>IF(E474="","",IF(X474="DUPLICATE","STOP — DUPLICATE",IF(OR(N474="Completed",N474="Cancelled",N474="Rejected",N474="Superseded"),"Closed",IF(P474="","No due date",IF(Q474&lt;0,"OVERDUE",IF(Q474&lt;=7,"DUE SOON","Open"))))))</x:f>
      </x:c>
      <x:c r="S474" s="36"/>
      <x:c r="T474" s="36"/>
      <x:c r="U474" s="36"/>
      <x:c r="V474" s="42"/>
      <x:c r="W474" s="36"/>
      <x:c r="X474" s="36" t="str">
        <x:f>IF(E474="","",IF(COUNTIF($E$7:$E$506,E474)&gt;1,"DUPLICATE","OK"))</x:f>
      </x:c>
    </x:row>
    <x:row r="475">
      <x:c r="A475" s="36" t="str">
        <x:v>NEX</x:v>
      </x:c>
      <x:c r="B475" s="36"/>
      <x:c r="C475" s="38"/>
      <x:c r="D475" s="38"/>
      <x:c r="E475" s="36" t="str">
        <x:f>IF(OR(A475="",B475="",C475="",D475=""),"",A475&amp;"-"&amp;B475&amp;"-"&amp;TEXT(C475,"0000")&amp;"-"&amp;TEXT(D475,"0000"))</x:f>
      </x:c>
      <x:c r="F475" s="36" t="str">
        <x:v>R0</x:v>
      </x:c>
      <x:c r="G475" s="40"/>
      <x:c r="H475" s="40"/>
      <x:c r="I475" s="36"/>
      <x:c r="J475" s="36"/>
      <x:c r="K475" s="36"/>
      <x:c r="L475" s="44"/>
      <x:c r="M475" s="36" t="str">
        <x:v>MYR</x:v>
      </x:c>
      <x:c r="N475" s="36"/>
      <x:c r="O475" s="36"/>
      <x:c r="P475" s="40"/>
      <x:c r="Q475" s="36" t="str">
        <x:f>IF(P475="","",P475-TODAY())</x:f>
      </x:c>
      <x:c r="R475" s="36" t="str">
        <x:f>IF(E475="","",IF(X475="DUPLICATE","STOP — DUPLICATE",IF(OR(N475="Completed",N475="Cancelled",N475="Rejected",N475="Superseded"),"Closed",IF(P475="","No due date",IF(Q475&lt;0,"OVERDUE",IF(Q475&lt;=7,"DUE SOON","Open"))))))</x:f>
      </x:c>
      <x:c r="S475" s="36"/>
      <x:c r="T475" s="36"/>
      <x:c r="U475" s="36"/>
      <x:c r="V475" s="42"/>
      <x:c r="W475" s="36"/>
      <x:c r="X475" s="36" t="str">
        <x:f>IF(E475="","",IF(COUNTIF($E$7:$E$506,E475)&gt;1,"DUPLICATE","OK"))</x:f>
      </x:c>
    </x:row>
    <x:row r="476">
      <x:c r="A476" s="36" t="str">
        <x:v>NEX</x:v>
      </x:c>
      <x:c r="B476" s="36"/>
      <x:c r="C476" s="38"/>
      <x:c r="D476" s="38"/>
      <x:c r="E476" s="36" t="str">
        <x:f>IF(OR(A476="",B476="",C476="",D476=""),"",A476&amp;"-"&amp;B476&amp;"-"&amp;TEXT(C476,"0000")&amp;"-"&amp;TEXT(D476,"0000"))</x:f>
      </x:c>
      <x:c r="F476" s="36" t="str">
        <x:v>R0</x:v>
      </x:c>
      <x:c r="G476" s="40"/>
      <x:c r="H476" s="40"/>
      <x:c r="I476" s="36"/>
      <x:c r="J476" s="36"/>
      <x:c r="K476" s="36"/>
      <x:c r="L476" s="44"/>
      <x:c r="M476" s="36" t="str">
        <x:v>MYR</x:v>
      </x:c>
      <x:c r="N476" s="36"/>
      <x:c r="O476" s="36"/>
      <x:c r="P476" s="40"/>
      <x:c r="Q476" s="36" t="str">
        <x:f>IF(P476="","",P476-TODAY())</x:f>
      </x:c>
      <x:c r="R476" s="36" t="str">
        <x:f>IF(E476="","",IF(X476="DUPLICATE","STOP — DUPLICATE",IF(OR(N476="Completed",N476="Cancelled",N476="Rejected",N476="Superseded"),"Closed",IF(P476="","No due date",IF(Q476&lt;0,"OVERDUE",IF(Q476&lt;=7,"DUE SOON","Open"))))))</x:f>
      </x:c>
      <x:c r="S476" s="36"/>
      <x:c r="T476" s="36"/>
      <x:c r="U476" s="36"/>
      <x:c r="V476" s="42"/>
      <x:c r="W476" s="36"/>
      <x:c r="X476" s="36" t="str">
        <x:f>IF(E476="","",IF(COUNTIF($E$7:$E$506,E476)&gt;1,"DUPLICATE","OK"))</x:f>
      </x:c>
    </x:row>
    <x:row r="477">
      <x:c r="A477" s="36" t="str">
        <x:v>NEX</x:v>
      </x:c>
      <x:c r="B477" s="36"/>
      <x:c r="C477" s="38"/>
      <x:c r="D477" s="38"/>
      <x:c r="E477" s="36" t="str">
        <x:f>IF(OR(A477="",B477="",C477="",D477=""),"",A477&amp;"-"&amp;B477&amp;"-"&amp;TEXT(C477,"0000")&amp;"-"&amp;TEXT(D477,"0000"))</x:f>
      </x:c>
      <x:c r="F477" s="36" t="str">
        <x:v>R0</x:v>
      </x:c>
      <x:c r="G477" s="40"/>
      <x:c r="H477" s="40"/>
      <x:c r="I477" s="36"/>
      <x:c r="J477" s="36"/>
      <x:c r="K477" s="36"/>
      <x:c r="L477" s="44"/>
      <x:c r="M477" s="36" t="str">
        <x:v>MYR</x:v>
      </x:c>
      <x:c r="N477" s="36"/>
      <x:c r="O477" s="36"/>
      <x:c r="P477" s="40"/>
      <x:c r="Q477" s="36" t="str">
        <x:f>IF(P477="","",P477-TODAY())</x:f>
      </x:c>
      <x:c r="R477" s="36" t="str">
        <x:f>IF(E477="","",IF(X477="DUPLICATE","STOP — DUPLICATE",IF(OR(N477="Completed",N477="Cancelled",N477="Rejected",N477="Superseded"),"Closed",IF(P477="","No due date",IF(Q477&lt;0,"OVERDUE",IF(Q477&lt;=7,"DUE SOON","Open"))))))</x:f>
      </x:c>
      <x:c r="S477" s="36"/>
      <x:c r="T477" s="36"/>
      <x:c r="U477" s="36"/>
      <x:c r="V477" s="42"/>
      <x:c r="W477" s="36"/>
      <x:c r="X477" s="36" t="str">
        <x:f>IF(E477="","",IF(COUNTIF($E$7:$E$506,E477)&gt;1,"DUPLICATE","OK"))</x:f>
      </x:c>
    </x:row>
    <x:row r="478">
      <x:c r="A478" s="36" t="str">
        <x:v>NEX</x:v>
      </x:c>
      <x:c r="B478" s="36"/>
      <x:c r="C478" s="38"/>
      <x:c r="D478" s="38"/>
      <x:c r="E478" s="36" t="str">
        <x:f>IF(OR(A478="",B478="",C478="",D478=""),"",A478&amp;"-"&amp;B478&amp;"-"&amp;TEXT(C478,"0000")&amp;"-"&amp;TEXT(D478,"0000"))</x:f>
      </x:c>
      <x:c r="F478" s="36" t="str">
        <x:v>R0</x:v>
      </x:c>
      <x:c r="G478" s="40"/>
      <x:c r="H478" s="40"/>
      <x:c r="I478" s="36"/>
      <x:c r="J478" s="36"/>
      <x:c r="K478" s="36"/>
      <x:c r="L478" s="44"/>
      <x:c r="M478" s="36" t="str">
        <x:v>MYR</x:v>
      </x:c>
      <x:c r="N478" s="36"/>
      <x:c r="O478" s="36"/>
      <x:c r="P478" s="40"/>
      <x:c r="Q478" s="36" t="str">
        <x:f>IF(P478="","",P478-TODAY())</x:f>
      </x:c>
      <x:c r="R478" s="36" t="str">
        <x:f>IF(E478="","",IF(X478="DUPLICATE","STOP — DUPLICATE",IF(OR(N478="Completed",N478="Cancelled",N478="Rejected",N478="Superseded"),"Closed",IF(P478="","No due date",IF(Q478&lt;0,"OVERDUE",IF(Q478&lt;=7,"DUE SOON","Open"))))))</x:f>
      </x:c>
      <x:c r="S478" s="36"/>
      <x:c r="T478" s="36"/>
      <x:c r="U478" s="36"/>
      <x:c r="V478" s="42"/>
      <x:c r="W478" s="36"/>
      <x:c r="X478" s="36" t="str">
        <x:f>IF(E478="","",IF(COUNTIF($E$7:$E$506,E478)&gt;1,"DUPLICATE","OK"))</x:f>
      </x:c>
    </x:row>
    <x:row r="479">
      <x:c r="A479" s="36" t="str">
        <x:v>NEX</x:v>
      </x:c>
      <x:c r="B479" s="36"/>
      <x:c r="C479" s="38"/>
      <x:c r="D479" s="38"/>
      <x:c r="E479" s="36" t="str">
        <x:f>IF(OR(A479="",B479="",C479="",D479=""),"",A479&amp;"-"&amp;B479&amp;"-"&amp;TEXT(C479,"0000")&amp;"-"&amp;TEXT(D479,"0000"))</x:f>
      </x:c>
      <x:c r="F479" s="36" t="str">
        <x:v>R0</x:v>
      </x:c>
      <x:c r="G479" s="40"/>
      <x:c r="H479" s="40"/>
      <x:c r="I479" s="36"/>
      <x:c r="J479" s="36"/>
      <x:c r="K479" s="36"/>
      <x:c r="L479" s="44"/>
      <x:c r="M479" s="36" t="str">
        <x:v>MYR</x:v>
      </x:c>
      <x:c r="N479" s="36"/>
      <x:c r="O479" s="36"/>
      <x:c r="P479" s="40"/>
      <x:c r="Q479" s="36" t="str">
        <x:f>IF(P479="","",P479-TODAY())</x:f>
      </x:c>
      <x:c r="R479" s="36" t="str">
        <x:f>IF(E479="","",IF(X479="DUPLICATE","STOP — DUPLICATE",IF(OR(N479="Completed",N479="Cancelled",N479="Rejected",N479="Superseded"),"Closed",IF(P479="","No due date",IF(Q479&lt;0,"OVERDUE",IF(Q479&lt;=7,"DUE SOON","Open"))))))</x:f>
      </x:c>
      <x:c r="S479" s="36"/>
      <x:c r="T479" s="36"/>
      <x:c r="U479" s="36"/>
      <x:c r="V479" s="42"/>
      <x:c r="W479" s="36"/>
      <x:c r="X479" s="36" t="str">
        <x:f>IF(E479="","",IF(COUNTIF($E$7:$E$506,E479)&gt;1,"DUPLICATE","OK"))</x:f>
      </x:c>
    </x:row>
    <x:row r="480">
      <x:c r="A480" s="36" t="str">
        <x:v>NEX</x:v>
      </x:c>
      <x:c r="B480" s="36"/>
      <x:c r="C480" s="38"/>
      <x:c r="D480" s="38"/>
      <x:c r="E480" s="36" t="str">
        <x:f>IF(OR(A480="",B480="",C480="",D480=""),"",A480&amp;"-"&amp;B480&amp;"-"&amp;TEXT(C480,"0000")&amp;"-"&amp;TEXT(D480,"0000"))</x:f>
      </x:c>
      <x:c r="F480" s="36" t="str">
        <x:v>R0</x:v>
      </x:c>
      <x:c r="G480" s="40"/>
      <x:c r="H480" s="40"/>
      <x:c r="I480" s="36"/>
      <x:c r="J480" s="36"/>
      <x:c r="K480" s="36"/>
      <x:c r="L480" s="44"/>
      <x:c r="M480" s="36" t="str">
        <x:v>MYR</x:v>
      </x:c>
      <x:c r="N480" s="36"/>
      <x:c r="O480" s="36"/>
      <x:c r="P480" s="40"/>
      <x:c r="Q480" s="36" t="str">
        <x:f>IF(P480="","",P480-TODAY())</x:f>
      </x:c>
      <x:c r="R480" s="36" t="str">
        <x:f>IF(E480="","",IF(X480="DUPLICATE","STOP — DUPLICATE",IF(OR(N480="Completed",N480="Cancelled",N480="Rejected",N480="Superseded"),"Closed",IF(P480="","No due date",IF(Q480&lt;0,"OVERDUE",IF(Q480&lt;=7,"DUE SOON","Open"))))))</x:f>
      </x:c>
      <x:c r="S480" s="36"/>
      <x:c r="T480" s="36"/>
      <x:c r="U480" s="36"/>
      <x:c r="V480" s="42"/>
      <x:c r="W480" s="36"/>
      <x:c r="X480" s="36" t="str">
        <x:f>IF(E480="","",IF(COUNTIF($E$7:$E$506,E480)&gt;1,"DUPLICATE","OK"))</x:f>
      </x:c>
    </x:row>
    <x:row r="481">
      <x:c r="A481" s="36" t="str">
        <x:v>NEX</x:v>
      </x:c>
      <x:c r="B481" s="36"/>
      <x:c r="C481" s="38"/>
      <x:c r="D481" s="38"/>
      <x:c r="E481" s="36" t="str">
        <x:f>IF(OR(A481="",B481="",C481="",D481=""),"",A481&amp;"-"&amp;B481&amp;"-"&amp;TEXT(C481,"0000")&amp;"-"&amp;TEXT(D481,"0000"))</x:f>
      </x:c>
      <x:c r="F481" s="36" t="str">
        <x:v>R0</x:v>
      </x:c>
      <x:c r="G481" s="40"/>
      <x:c r="H481" s="40"/>
      <x:c r="I481" s="36"/>
      <x:c r="J481" s="36"/>
      <x:c r="K481" s="36"/>
      <x:c r="L481" s="44"/>
      <x:c r="M481" s="36" t="str">
        <x:v>MYR</x:v>
      </x:c>
      <x:c r="N481" s="36"/>
      <x:c r="O481" s="36"/>
      <x:c r="P481" s="40"/>
      <x:c r="Q481" s="36" t="str">
        <x:f>IF(P481="","",P481-TODAY())</x:f>
      </x:c>
      <x:c r="R481" s="36" t="str">
        <x:f>IF(E481="","",IF(X481="DUPLICATE","STOP — DUPLICATE",IF(OR(N481="Completed",N481="Cancelled",N481="Rejected",N481="Superseded"),"Closed",IF(P481="","No due date",IF(Q481&lt;0,"OVERDUE",IF(Q481&lt;=7,"DUE SOON","Open"))))))</x:f>
      </x:c>
      <x:c r="S481" s="36"/>
      <x:c r="T481" s="36"/>
      <x:c r="U481" s="36"/>
      <x:c r="V481" s="42"/>
      <x:c r="W481" s="36"/>
      <x:c r="X481" s="36" t="str">
        <x:f>IF(E481="","",IF(COUNTIF($E$7:$E$506,E481)&gt;1,"DUPLICATE","OK"))</x:f>
      </x:c>
    </x:row>
    <x:row r="482">
      <x:c r="A482" s="36" t="str">
        <x:v>NEX</x:v>
      </x:c>
      <x:c r="B482" s="36"/>
      <x:c r="C482" s="38"/>
      <x:c r="D482" s="38"/>
      <x:c r="E482" s="36" t="str">
        <x:f>IF(OR(A482="",B482="",C482="",D482=""),"",A482&amp;"-"&amp;B482&amp;"-"&amp;TEXT(C482,"0000")&amp;"-"&amp;TEXT(D482,"0000"))</x:f>
      </x:c>
      <x:c r="F482" s="36" t="str">
        <x:v>R0</x:v>
      </x:c>
      <x:c r="G482" s="40"/>
      <x:c r="H482" s="40"/>
      <x:c r="I482" s="36"/>
      <x:c r="J482" s="36"/>
      <x:c r="K482" s="36"/>
      <x:c r="L482" s="44"/>
      <x:c r="M482" s="36" t="str">
        <x:v>MYR</x:v>
      </x:c>
      <x:c r="N482" s="36"/>
      <x:c r="O482" s="36"/>
      <x:c r="P482" s="40"/>
      <x:c r="Q482" s="36" t="str">
        <x:f>IF(P482="","",P482-TODAY())</x:f>
      </x:c>
      <x:c r="R482" s="36" t="str">
        <x:f>IF(E482="","",IF(X482="DUPLICATE","STOP — DUPLICATE",IF(OR(N482="Completed",N482="Cancelled",N482="Rejected",N482="Superseded"),"Closed",IF(P482="","No due date",IF(Q482&lt;0,"OVERDUE",IF(Q482&lt;=7,"DUE SOON","Open"))))))</x:f>
      </x:c>
      <x:c r="S482" s="36"/>
      <x:c r="T482" s="36"/>
      <x:c r="U482" s="36"/>
      <x:c r="V482" s="42"/>
      <x:c r="W482" s="36"/>
      <x:c r="X482" s="36" t="str">
        <x:f>IF(E482="","",IF(COUNTIF($E$7:$E$506,E482)&gt;1,"DUPLICATE","OK"))</x:f>
      </x:c>
    </x:row>
    <x:row r="483">
      <x:c r="A483" s="36" t="str">
        <x:v>NEX</x:v>
      </x:c>
      <x:c r="B483" s="36"/>
      <x:c r="C483" s="38"/>
      <x:c r="D483" s="38"/>
      <x:c r="E483" s="36" t="str">
        <x:f>IF(OR(A483="",B483="",C483="",D483=""),"",A483&amp;"-"&amp;B483&amp;"-"&amp;TEXT(C483,"0000")&amp;"-"&amp;TEXT(D483,"0000"))</x:f>
      </x:c>
      <x:c r="F483" s="36" t="str">
        <x:v>R0</x:v>
      </x:c>
      <x:c r="G483" s="40"/>
      <x:c r="H483" s="40"/>
      <x:c r="I483" s="36"/>
      <x:c r="J483" s="36"/>
      <x:c r="K483" s="36"/>
      <x:c r="L483" s="44"/>
      <x:c r="M483" s="36" t="str">
        <x:v>MYR</x:v>
      </x:c>
      <x:c r="N483" s="36"/>
      <x:c r="O483" s="36"/>
      <x:c r="P483" s="40"/>
      <x:c r="Q483" s="36" t="str">
        <x:f>IF(P483="","",P483-TODAY())</x:f>
      </x:c>
      <x:c r="R483" s="36" t="str">
        <x:f>IF(E483="","",IF(X483="DUPLICATE","STOP — DUPLICATE",IF(OR(N483="Completed",N483="Cancelled",N483="Rejected",N483="Superseded"),"Closed",IF(P483="","No due date",IF(Q483&lt;0,"OVERDUE",IF(Q483&lt;=7,"DUE SOON","Open"))))))</x:f>
      </x:c>
      <x:c r="S483" s="36"/>
      <x:c r="T483" s="36"/>
      <x:c r="U483" s="36"/>
      <x:c r="V483" s="42"/>
      <x:c r="W483" s="36"/>
      <x:c r="X483" s="36" t="str">
        <x:f>IF(E483="","",IF(COUNTIF($E$7:$E$506,E483)&gt;1,"DUPLICATE","OK"))</x:f>
      </x:c>
    </x:row>
    <x:row r="484">
      <x:c r="A484" s="36" t="str">
        <x:v>NEX</x:v>
      </x:c>
      <x:c r="B484" s="36"/>
      <x:c r="C484" s="38"/>
      <x:c r="D484" s="38"/>
      <x:c r="E484" s="36" t="str">
        <x:f>IF(OR(A484="",B484="",C484="",D484=""),"",A484&amp;"-"&amp;B484&amp;"-"&amp;TEXT(C484,"0000")&amp;"-"&amp;TEXT(D484,"0000"))</x:f>
      </x:c>
      <x:c r="F484" s="36" t="str">
        <x:v>R0</x:v>
      </x:c>
      <x:c r="G484" s="40"/>
      <x:c r="H484" s="40"/>
      <x:c r="I484" s="36"/>
      <x:c r="J484" s="36"/>
      <x:c r="K484" s="36"/>
      <x:c r="L484" s="44"/>
      <x:c r="M484" s="36" t="str">
        <x:v>MYR</x:v>
      </x:c>
      <x:c r="N484" s="36"/>
      <x:c r="O484" s="36"/>
      <x:c r="P484" s="40"/>
      <x:c r="Q484" s="36" t="str">
        <x:f>IF(P484="","",P484-TODAY())</x:f>
      </x:c>
      <x:c r="R484" s="36" t="str">
        <x:f>IF(E484="","",IF(X484="DUPLICATE","STOP — DUPLICATE",IF(OR(N484="Completed",N484="Cancelled",N484="Rejected",N484="Superseded"),"Closed",IF(P484="","No due date",IF(Q484&lt;0,"OVERDUE",IF(Q484&lt;=7,"DUE SOON","Open"))))))</x:f>
      </x:c>
      <x:c r="S484" s="36"/>
      <x:c r="T484" s="36"/>
      <x:c r="U484" s="36"/>
      <x:c r="V484" s="42"/>
      <x:c r="W484" s="36"/>
      <x:c r="X484" s="36" t="str">
        <x:f>IF(E484="","",IF(COUNTIF($E$7:$E$506,E484)&gt;1,"DUPLICATE","OK"))</x:f>
      </x:c>
    </x:row>
    <x:row r="485">
      <x:c r="A485" s="36" t="str">
        <x:v>NEX</x:v>
      </x:c>
      <x:c r="B485" s="36"/>
      <x:c r="C485" s="38"/>
      <x:c r="D485" s="38"/>
      <x:c r="E485" s="36" t="str">
        <x:f>IF(OR(A485="",B485="",C485="",D485=""),"",A485&amp;"-"&amp;B485&amp;"-"&amp;TEXT(C485,"0000")&amp;"-"&amp;TEXT(D485,"0000"))</x:f>
      </x:c>
      <x:c r="F485" s="36" t="str">
        <x:v>R0</x:v>
      </x:c>
      <x:c r="G485" s="40"/>
      <x:c r="H485" s="40"/>
      <x:c r="I485" s="36"/>
      <x:c r="J485" s="36"/>
      <x:c r="K485" s="36"/>
      <x:c r="L485" s="44"/>
      <x:c r="M485" s="36" t="str">
        <x:v>MYR</x:v>
      </x:c>
      <x:c r="N485" s="36"/>
      <x:c r="O485" s="36"/>
      <x:c r="P485" s="40"/>
      <x:c r="Q485" s="36" t="str">
        <x:f>IF(P485="","",P485-TODAY())</x:f>
      </x:c>
      <x:c r="R485" s="36" t="str">
        <x:f>IF(E485="","",IF(X485="DUPLICATE","STOP — DUPLICATE",IF(OR(N485="Completed",N485="Cancelled",N485="Rejected",N485="Superseded"),"Closed",IF(P485="","No due date",IF(Q485&lt;0,"OVERDUE",IF(Q485&lt;=7,"DUE SOON","Open"))))))</x:f>
      </x:c>
      <x:c r="S485" s="36"/>
      <x:c r="T485" s="36"/>
      <x:c r="U485" s="36"/>
      <x:c r="V485" s="42"/>
      <x:c r="W485" s="36"/>
      <x:c r="X485" s="36" t="str">
        <x:f>IF(E485="","",IF(COUNTIF($E$7:$E$506,E485)&gt;1,"DUPLICATE","OK"))</x:f>
      </x:c>
    </x:row>
    <x:row r="486">
      <x:c r="A486" s="36" t="str">
        <x:v>NEX</x:v>
      </x:c>
      <x:c r="B486" s="36"/>
      <x:c r="C486" s="38"/>
      <x:c r="D486" s="38"/>
      <x:c r="E486" s="36" t="str">
        <x:f>IF(OR(A486="",B486="",C486="",D486=""),"",A486&amp;"-"&amp;B486&amp;"-"&amp;TEXT(C486,"0000")&amp;"-"&amp;TEXT(D486,"0000"))</x:f>
      </x:c>
      <x:c r="F486" s="36" t="str">
        <x:v>R0</x:v>
      </x:c>
      <x:c r="G486" s="40"/>
      <x:c r="H486" s="40"/>
      <x:c r="I486" s="36"/>
      <x:c r="J486" s="36"/>
      <x:c r="K486" s="36"/>
      <x:c r="L486" s="44"/>
      <x:c r="M486" s="36" t="str">
        <x:v>MYR</x:v>
      </x:c>
      <x:c r="N486" s="36"/>
      <x:c r="O486" s="36"/>
      <x:c r="P486" s="40"/>
      <x:c r="Q486" s="36" t="str">
        <x:f>IF(P486="","",P486-TODAY())</x:f>
      </x:c>
      <x:c r="R486" s="36" t="str">
        <x:f>IF(E486="","",IF(X486="DUPLICATE","STOP — DUPLICATE",IF(OR(N486="Completed",N486="Cancelled",N486="Rejected",N486="Superseded"),"Closed",IF(P486="","No due date",IF(Q486&lt;0,"OVERDUE",IF(Q486&lt;=7,"DUE SOON","Open"))))))</x:f>
      </x:c>
      <x:c r="S486" s="36"/>
      <x:c r="T486" s="36"/>
      <x:c r="U486" s="36"/>
      <x:c r="V486" s="42"/>
      <x:c r="W486" s="36"/>
      <x:c r="X486" s="36" t="str">
        <x:f>IF(E486="","",IF(COUNTIF($E$7:$E$506,E486)&gt;1,"DUPLICATE","OK"))</x:f>
      </x:c>
    </x:row>
    <x:row r="487">
      <x:c r="A487" s="36" t="str">
        <x:v>NEX</x:v>
      </x:c>
      <x:c r="B487" s="36"/>
      <x:c r="C487" s="38"/>
      <x:c r="D487" s="38"/>
      <x:c r="E487" s="36" t="str">
        <x:f>IF(OR(A487="",B487="",C487="",D487=""),"",A487&amp;"-"&amp;B487&amp;"-"&amp;TEXT(C487,"0000")&amp;"-"&amp;TEXT(D487,"0000"))</x:f>
      </x:c>
      <x:c r="F487" s="36" t="str">
        <x:v>R0</x:v>
      </x:c>
      <x:c r="G487" s="40"/>
      <x:c r="H487" s="40"/>
      <x:c r="I487" s="36"/>
      <x:c r="J487" s="36"/>
      <x:c r="K487" s="36"/>
      <x:c r="L487" s="44"/>
      <x:c r="M487" s="36" t="str">
        <x:v>MYR</x:v>
      </x:c>
      <x:c r="N487" s="36"/>
      <x:c r="O487" s="36"/>
      <x:c r="P487" s="40"/>
      <x:c r="Q487" s="36" t="str">
        <x:f>IF(P487="","",P487-TODAY())</x:f>
      </x:c>
      <x:c r="R487" s="36" t="str">
        <x:f>IF(E487="","",IF(X487="DUPLICATE","STOP — DUPLICATE",IF(OR(N487="Completed",N487="Cancelled",N487="Rejected",N487="Superseded"),"Closed",IF(P487="","No due date",IF(Q487&lt;0,"OVERDUE",IF(Q487&lt;=7,"DUE SOON","Open"))))))</x:f>
      </x:c>
      <x:c r="S487" s="36"/>
      <x:c r="T487" s="36"/>
      <x:c r="U487" s="36"/>
      <x:c r="V487" s="42"/>
      <x:c r="W487" s="36"/>
      <x:c r="X487" s="36" t="str">
        <x:f>IF(E487="","",IF(COUNTIF($E$7:$E$506,E487)&gt;1,"DUPLICATE","OK"))</x:f>
      </x:c>
    </x:row>
    <x:row r="488">
      <x:c r="A488" s="36" t="str">
        <x:v>NEX</x:v>
      </x:c>
      <x:c r="B488" s="36"/>
      <x:c r="C488" s="38"/>
      <x:c r="D488" s="38"/>
      <x:c r="E488" s="36" t="str">
        <x:f>IF(OR(A488="",B488="",C488="",D488=""),"",A488&amp;"-"&amp;B488&amp;"-"&amp;TEXT(C488,"0000")&amp;"-"&amp;TEXT(D488,"0000"))</x:f>
      </x:c>
      <x:c r="F488" s="36" t="str">
        <x:v>R0</x:v>
      </x:c>
      <x:c r="G488" s="40"/>
      <x:c r="H488" s="40"/>
      <x:c r="I488" s="36"/>
      <x:c r="J488" s="36"/>
      <x:c r="K488" s="36"/>
      <x:c r="L488" s="44"/>
      <x:c r="M488" s="36" t="str">
        <x:v>MYR</x:v>
      </x:c>
      <x:c r="N488" s="36"/>
      <x:c r="O488" s="36"/>
      <x:c r="P488" s="40"/>
      <x:c r="Q488" s="36" t="str">
        <x:f>IF(P488="","",P488-TODAY())</x:f>
      </x:c>
      <x:c r="R488" s="36" t="str">
        <x:f>IF(E488="","",IF(X488="DUPLICATE","STOP — DUPLICATE",IF(OR(N488="Completed",N488="Cancelled",N488="Rejected",N488="Superseded"),"Closed",IF(P488="","No due date",IF(Q488&lt;0,"OVERDUE",IF(Q488&lt;=7,"DUE SOON","Open"))))))</x:f>
      </x:c>
      <x:c r="S488" s="36"/>
      <x:c r="T488" s="36"/>
      <x:c r="U488" s="36"/>
      <x:c r="V488" s="42"/>
      <x:c r="W488" s="36"/>
      <x:c r="X488" s="36" t="str">
        <x:f>IF(E488="","",IF(COUNTIF($E$7:$E$506,E488)&gt;1,"DUPLICATE","OK"))</x:f>
      </x:c>
    </x:row>
    <x:row r="489">
      <x:c r="A489" s="36" t="str">
        <x:v>NEX</x:v>
      </x:c>
      <x:c r="B489" s="36"/>
      <x:c r="C489" s="38"/>
      <x:c r="D489" s="38"/>
      <x:c r="E489" s="36" t="str">
        <x:f>IF(OR(A489="",B489="",C489="",D489=""),"",A489&amp;"-"&amp;B489&amp;"-"&amp;TEXT(C489,"0000")&amp;"-"&amp;TEXT(D489,"0000"))</x:f>
      </x:c>
      <x:c r="F489" s="36" t="str">
        <x:v>R0</x:v>
      </x:c>
      <x:c r="G489" s="40"/>
      <x:c r="H489" s="40"/>
      <x:c r="I489" s="36"/>
      <x:c r="J489" s="36"/>
      <x:c r="K489" s="36"/>
      <x:c r="L489" s="44"/>
      <x:c r="M489" s="36" t="str">
        <x:v>MYR</x:v>
      </x:c>
      <x:c r="N489" s="36"/>
      <x:c r="O489" s="36"/>
      <x:c r="P489" s="40"/>
      <x:c r="Q489" s="36" t="str">
        <x:f>IF(P489="","",P489-TODAY())</x:f>
      </x:c>
      <x:c r="R489" s="36" t="str">
        <x:f>IF(E489="","",IF(X489="DUPLICATE","STOP — DUPLICATE",IF(OR(N489="Completed",N489="Cancelled",N489="Rejected",N489="Superseded"),"Closed",IF(P489="","No due date",IF(Q489&lt;0,"OVERDUE",IF(Q489&lt;=7,"DUE SOON","Open"))))))</x:f>
      </x:c>
      <x:c r="S489" s="36"/>
      <x:c r="T489" s="36"/>
      <x:c r="U489" s="36"/>
      <x:c r="V489" s="42"/>
      <x:c r="W489" s="36"/>
      <x:c r="X489" s="36" t="str">
        <x:f>IF(E489="","",IF(COUNTIF($E$7:$E$506,E489)&gt;1,"DUPLICATE","OK"))</x:f>
      </x:c>
    </x:row>
    <x:row r="490">
      <x:c r="A490" s="36" t="str">
        <x:v>NEX</x:v>
      </x:c>
      <x:c r="B490" s="36"/>
      <x:c r="C490" s="38"/>
      <x:c r="D490" s="38"/>
      <x:c r="E490" s="36" t="str">
        <x:f>IF(OR(A490="",B490="",C490="",D490=""),"",A490&amp;"-"&amp;B490&amp;"-"&amp;TEXT(C490,"0000")&amp;"-"&amp;TEXT(D490,"0000"))</x:f>
      </x:c>
      <x:c r="F490" s="36" t="str">
        <x:v>R0</x:v>
      </x:c>
      <x:c r="G490" s="40"/>
      <x:c r="H490" s="40"/>
      <x:c r="I490" s="36"/>
      <x:c r="J490" s="36"/>
      <x:c r="K490" s="36"/>
      <x:c r="L490" s="44"/>
      <x:c r="M490" s="36" t="str">
        <x:v>MYR</x:v>
      </x:c>
      <x:c r="N490" s="36"/>
      <x:c r="O490" s="36"/>
      <x:c r="P490" s="40"/>
      <x:c r="Q490" s="36" t="str">
        <x:f>IF(P490="","",P490-TODAY())</x:f>
      </x:c>
      <x:c r="R490" s="36" t="str">
        <x:f>IF(E490="","",IF(X490="DUPLICATE","STOP — DUPLICATE",IF(OR(N490="Completed",N490="Cancelled",N490="Rejected",N490="Superseded"),"Closed",IF(P490="","No due date",IF(Q490&lt;0,"OVERDUE",IF(Q490&lt;=7,"DUE SOON","Open"))))))</x:f>
      </x:c>
      <x:c r="S490" s="36"/>
      <x:c r="T490" s="36"/>
      <x:c r="U490" s="36"/>
      <x:c r="V490" s="42"/>
      <x:c r="W490" s="36"/>
      <x:c r="X490" s="36" t="str">
        <x:f>IF(E490="","",IF(COUNTIF($E$7:$E$506,E490)&gt;1,"DUPLICATE","OK"))</x:f>
      </x:c>
    </x:row>
    <x:row r="491">
      <x:c r="A491" s="36" t="str">
        <x:v>NEX</x:v>
      </x:c>
      <x:c r="B491" s="36"/>
      <x:c r="C491" s="38"/>
      <x:c r="D491" s="38"/>
      <x:c r="E491" s="36" t="str">
        <x:f>IF(OR(A491="",B491="",C491="",D491=""),"",A491&amp;"-"&amp;B491&amp;"-"&amp;TEXT(C491,"0000")&amp;"-"&amp;TEXT(D491,"0000"))</x:f>
      </x:c>
      <x:c r="F491" s="36" t="str">
        <x:v>R0</x:v>
      </x:c>
      <x:c r="G491" s="40"/>
      <x:c r="H491" s="40"/>
      <x:c r="I491" s="36"/>
      <x:c r="J491" s="36"/>
      <x:c r="K491" s="36"/>
      <x:c r="L491" s="44"/>
      <x:c r="M491" s="36" t="str">
        <x:v>MYR</x:v>
      </x:c>
      <x:c r="N491" s="36"/>
      <x:c r="O491" s="36"/>
      <x:c r="P491" s="40"/>
      <x:c r="Q491" s="36" t="str">
        <x:f>IF(P491="","",P491-TODAY())</x:f>
      </x:c>
      <x:c r="R491" s="36" t="str">
        <x:f>IF(E491="","",IF(X491="DUPLICATE","STOP — DUPLICATE",IF(OR(N491="Completed",N491="Cancelled",N491="Rejected",N491="Superseded"),"Closed",IF(P491="","No due date",IF(Q491&lt;0,"OVERDUE",IF(Q491&lt;=7,"DUE SOON","Open"))))))</x:f>
      </x:c>
      <x:c r="S491" s="36"/>
      <x:c r="T491" s="36"/>
      <x:c r="U491" s="36"/>
      <x:c r="V491" s="42"/>
      <x:c r="W491" s="36"/>
      <x:c r="X491" s="36" t="str">
        <x:f>IF(E491="","",IF(COUNTIF($E$7:$E$506,E491)&gt;1,"DUPLICATE","OK"))</x:f>
      </x:c>
    </x:row>
    <x:row r="492">
      <x:c r="A492" s="36" t="str">
        <x:v>NEX</x:v>
      </x:c>
      <x:c r="B492" s="36"/>
      <x:c r="C492" s="38"/>
      <x:c r="D492" s="38"/>
      <x:c r="E492" s="36" t="str">
        <x:f>IF(OR(A492="",B492="",C492="",D492=""),"",A492&amp;"-"&amp;B492&amp;"-"&amp;TEXT(C492,"0000")&amp;"-"&amp;TEXT(D492,"0000"))</x:f>
      </x:c>
      <x:c r="F492" s="36" t="str">
        <x:v>R0</x:v>
      </x:c>
      <x:c r="G492" s="40"/>
      <x:c r="H492" s="40"/>
      <x:c r="I492" s="36"/>
      <x:c r="J492" s="36"/>
      <x:c r="K492" s="36"/>
      <x:c r="L492" s="44"/>
      <x:c r="M492" s="36" t="str">
        <x:v>MYR</x:v>
      </x:c>
      <x:c r="N492" s="36"/>
      <x:c r="O492" s="36"/>
      <x:c r="P492" s="40"/>
      <x:c r="Q492" s="36" t="str">
        <x:f>IF(P492="","",P492-TODAY())</x:f>
      </x:c>
      <x:c r="R492" s="36" t="str">
        <x:f>IF(E492="","",IF(X492="DUPLICATE","STOP — DUPLICATE",IF(OR(N492="Completed",N492="Cancelled",N492="Rejected",N492="Superseded"),"Closed",IF(P492="","No due date",IF(Q492&lt;0,"OVERDUE",IF(Q492&lt;=7,"DUE SOON","Open"))))))</x:f>
      </x:c>
      <x:c r="S492" s="36"/>
      <x:c r="T492" s="36"/>
      <x:c r="U492" s="36"/>
      <x:c r="V492" s="42"/>
      <x:c r="W492" s="36"/>
      <x:c r="X492" s="36" t="str">
        <x:f>IF(E492="","",IF(COUNTIF($E$7:$E$506,E492)&gt;1,"DUPLICATE","OK"))</x:f>
      </x:c>
    </x:row>
    <x:row r="493">
      <x:c r="A493" s="36" t="str">
        <x:v>NEX</x:v>
      </x:c>
      <x:c r="B493" s="36"/>
      <x:c r="C493" s="38"/>
      <x:c r="D493" s="38"/>
      <x:c r="E493" s="36" t="str">
        <x:f>IF(OR(A493="",B493="",C493="",D493=""),"",A493&amp;"-"&amp;B493&amp;"-"&amp;TEXT(C493,"0000")&amp;"-"&amp;TEXT(D493,"0000"))</x:f>
      </x:c>
      <x:c r="F493" s="36" t="str">
        <x:v>R0</x:v>
      </x:c>
      <x:c r="G493" s="40"/>
      <x:c r="H493" s="40"/>
      <x:c r="I493" s="36"/>
      <x:c r="J493" s="36"/>
      <x:c r="K493" s="36"/>
      <x:c r="L493" s="44"/>
      <x:c r="M493" s="36" t="str">
        <x:v>MYR</x:v>
      </x:c>
      <x:c r="N493" s="36"/>
      <x:c r="O493" s="36"/>
      <x:c r="P493" s="40"/>
      <x:c r="Q493" s="36" t="str">
        <x:f>IF(P493="","",P493-TODAY())</x:f>
      </x:c>
      <x:c r="R493" s="36" t="str">
        <x:f>IF(E493="","",IF(X493="DUPLICATE","STOP — DUPLICATE",IF(OR(N493="Completed",N493="Cancelled",N493="Rejected",N493="Superseded"),"Closed",IF(P493="","No due date",IF(Q493&lt;0,"OVERDUE",IF(Q493&lt;=7,"DUE SOON","Open"))))))</x:f>
      </x:c>
      <x:c r="S493" s="36"/>
      <x:c r="T493" s="36"/>
      <x:c r="U493" s="36"/>
      <x:c r="V493" s="42"/>
      <x:c r="W493" s="36"/>
      <x:c r="X493" s="36" t="str">
        <x:f>IF(E493="","",IF(COUNTIF($E$7:$E$506,E493)&gt;1,"DUPLICATE","OK"))</x:f>
      </x:c>
    </x:row>
    <x:row r="494">
      <x:c r="A494" s="36" t="str">
        <x:v>NEX</x:v>
      </x:c>
      <x:c r="B494" s="36"/>
      <x:c r="C494" s="38"/>
      <x:c r="D494" s="38"/>
      <x:c r="E494" s="36" t="str">
        <x:f>IF(OR(A494="",B494="",C494="",D494=""),"",A494&amp;"-"&amp;B494&amp;"-"&amp;TEXT(C494,"0000")&amp;"-"&amp;TEXT(D494,"0000"))</x:f>
      </x:c>
      <x:c r="F494" s="36" t="str">
        <x:v>R0</x:v>
      </x:c>
      <x:c r="G494" s="40"/>
      <x:c r="H494" s="40"/>
      <x:c r="I494" s="36"/>
      <x:c r="J494" s="36"/>
      <x:c r="K494" s="36"/>
      <x:c r="L494" s="44"/>
      <x:c r="M494" s="36" t="str">
        <x:v>MYR</x:v>
      </x:c>
      <x:c r="N494" s="36"/>
      <x:c r="O494" s="36"/>
      <x:c r="P494" s="40"/>
      <x:c r="Q494" s="36" t="str">
        <x:f>IF(P494="","",P494-TODAY())</x:f>
      </x:c>
      <x:c r="R494" s="36" t="str">
        <x:f>IF(E494="","",IF(X494="DUPLICATE","STOP — DUPLICATE",IF(OR(N494="Completed",N494="Cancelled",N494="Rejected",N494="Superseded"),"Closed",IF(P494="","No due date",IF(Q494&lt;0,"OVERDUE",IF(Q494&lt;=7,"DUE SOON","Open"))))))</x:f>
      </x:c>
      <x:c r="S494" s="36"/>
      <x:c r="T494" s="36"/>
      <x:c r="U494" s="36"/>
      <x:c r="V494" s="42"/>
      <x:c r="W494" s="36"/>
      <x:c r="X494" s="36" t="str">
        <x:f>IF(E494="","",IF(COUNTIF($E$7:$E$506,E494)&gt;1,"DUPLICATE","OK"))</x:f>
      </x:c>
    </x:row>
    <x:row r="495">
      <x:c r="A495" s="36" t="str">
        <x:v>NEX</x:v>
      </x:c>
      <x:c r="B495" s="36"/>
      <x:c r="C495" s="38"/>
      <x:c r="D495" s="38"/>
      <x:c r="E495" s="36" t="str">
        <x:f>IF(OR(A495="",B495="",C495="",D495=""),"",A495&amp;"-"&amp;B495&amp;"-"&amp;TEXT(C495,"0000")&amp;"-"&amp;TEXT(D495,"0000"))</x:f>
      </x:c>
      <x:c r="F495" s="36" t="str">
        <x:v>R0</x:v>
      </x:c>
      <x:c r="G495" s="40"/>
      <x:c r="H495" s="40"/>
      <x:c r="I495" s="36"/>
      <x:c r="J495" s="36"/>
      <x:c r="K495" s="36"/>
      <x:c r="L495" s="44"/>
      <x:c r="M495" s="36" t="str">
        <x:v>MYR</x:v>
      </x:c>
      <x:c r="N495" s="36"/>
      <x:c r="O495" s="36"/>
      <x:c r="P495" s="40"/>
      <x:c r="Q495" s="36" t="str">
        <x:f>IF(P495="","",P495-TODAY())</x:f>
      </x:c>
      <x:c r="R495" s="36" t="str">
        <x:f>IF(E495="","",IF(X495="DUPLICATE","STOP — DUPLICATE",IF(OR(N495="Completed",N495="Cancelled",N495="Rejected",N495="Superseded"),"Closed",IF(P495="","No due date",IF(Q495&lt;0,"OVERDUE",IF(Q495&lt;=7,"DUE SOON","Open"))))))</x:f>
      </x:c>
      <x:c r="S495" s="36"/>
      <x:c r="T495" s="36"/>
      <x:c r="U495" s="36"/>
      <x:c r="V495" s="42"/>
      <x:c r="W495" s="36"/>
      <x:c r="X495" s="36" t="str">
        <x:f>IF(E495="","",IF(COUNTIF($E$7:$E$506,E495)&gt;1,"DUPLICATE","OK"))</x:f>
      </x:c>
    </x:row>
    <x:row r="496">
      <x:c r="A496" s="36" t="str">
        <x:v>NEX</x:v>
      </x:c>
      <x:c r="B496" s="36"/>
      <x:c r="C496" s="38"/>
      <x:c r="D496" s="38"/>
      <x:c r="E496" s="36" t="str">
        <x:f>IF(OR(A496="",B496="",C496="",D496=""),"",A496&amp;"-"&amp;B496&amp;"-"&amp;TEXT(C496,"0000")&amp;"-"&amp;TEXT(D496,"0000"))</x:f>
      </x:c>
      <x:c r="F496" s="36" t="str">
        <x:v>R0</x:v>
      </x:c>
      <x:c r="G496" s="40"/>
      <x:c r="H496" s="40"/>
      <x:c r="I496" s="36"/>
      <x:c r="J496" s="36"/>
      <x:c r="K496" s="36"/>
      <x:c r="L496" s="44"/>
      <x:c r="M496" s="36" t="str">
        <x:v>MYR</x:v>
      </x:c>
      <x:c r="N496" s="36"/>
      <x:c r="O496" s="36"/>
      <x:c r="P496" s="40"/>
      <x:c r="Q496" s="36" t="str">
        <x:f>IF(P496="","",P496-TODAY())</x:f>
      </x:c>
      <x:c r="R496" s="36" t="str">
        <x:f>IF(E496="","",IF(X496="DUPLICATE","STOP — DUPLICATE",IF(OR(N496="Completed",N496="Cancelled",N496="Rejected",N496="Superseded"),"Closed",IF(P496="","No due date",IF(Q496&lt;0,"OVERDUE",IF(Q496&lt;=7,"DUE SOON","Open"))))))</x:f>
      </x:c>
      <x:c r="S496" s="36"/>
      <x:c r="T496" s="36"/>
      <x:c r="U496" s="36"/>
      <x:c r="V496" s="42"/>
      <x:c r="W496" s="36"/>
      <x:c r="X496" s="36" t="str">
        <x:f>IF(E496="","",IF(COUNTIF($E$7:$E$506,E496)&gt;1,"DUPLICATE","OK"))</x:f>
      </x:c>
    </x:row>
    <x:row r="497">
      <x:c r="A497" s="36" t="str">
        <x:v>NEX</x:v>
      </x:c>
      <x:c r="B497" s="36"/>
      <x:c r="C497" s="38"/>
      <x:c r="D497" s="38"/>
      <x:c r="E497" s="36" t="str">
        <x:f>IF(OR(A497="",B497="",C497="",D497=""),"",A497&amp;"-"&amp;B497&amp;"-"&amp;TEXT(C497,"0000")&amp;"-"&amp;TEXT(D497,"0000"))</x:f>
      </x:c>
      <x:c r="F497" s="36" t="str">
        <x:v>R0</x:v>
      </x:c>
      <x:c r="G497" s="40"/>
      <x:c r="H497" s="40"/>
      <x:c r="I497" s="36"/>
      <x:c r="J497" s="36"/>
      <x:c r="K497" s="36"/>
      <x:c r="L497" s="44"/>
      <x:c r="M497" s="36" t="str">
        <x:v>MYR</x:v>
      </x:c>
      <x:c r="N497" s="36"/>
      <x:c r="O497" s="36"/>
      <x:c r="P497" s="40"/>
      <x:c r="Q497" s="36" t="str">
        <x:f>IF(P497="","",P497-TODAY())</x:f>
      </x:c>
      <x:c r="R497" s="36" t="str">
        <x:f>IF(E497="","",IF(X497="DUPLICATE","STOP — DUPLICATE",IF(OR(N497="Completed",N497="Cancelled",N497="Rejected",N497="Superseded"),"Closed",IF(P497="","No due date",IF(Q497&lt;0,"OVERDUE",IF(Q497&lt;=7,"DUE SOON","Open"))))))</x:f>
      </x:c>
      <x:c r="S497" s="36"/>
      <x:c r="T497" s="36"/>
      <x:c r="U497" s="36"/>
      <x:c r="V497" s="42"/>
      <x:c r="W497" s="36"/>
      <x:c r="X497" s="36" t="str">
        <x:f>IF(E497="","",IF(COUNTIF($E$7:$E$506,E497)&gt;1,"DUPLICATE","OK"))</x:f>
      </x:c>
    </x:row>
    <x:row r="498">
      <x:c r="A498" s="36" t="str">
        <x:v>NEX</x:v>
      </x:c>
      <x:c r="B498" s="36"/>
      <x:c r="C498" s="38"/>
      <x:c r="D498" s="38"/>
      <x:c r="E498" s="36" t="str">
        <x:f>IF(OR(A498="",B498="",C498="",D498=""),"",A498&amp;"-"&amp;B498&amp;"-"&amp;TEXT(C498,"0000")&amp;"-"&amp;TEXT(D498,"0000"))</x:f>
      </x:c>
      <x:c r="F498" s="36" t="str">
        <x:v>R0</x:v>
      </x:c>
      <x:c r="G498" s="40"/>
      <x:c r="H498" s="40"/>
      <x:c r="I498" s="36"/>
      <x:c r="J498" s="36"/>
      <x:c r="K498" s="36"/>
      <x:c r="L498" s="44"/>
      <x:c r="M498" s="36" t="str">
        <x:v>MYR</x:v>
      </x:c>
      <x:c r="N498" s="36"/>
      <x:c r="O498" s="36"/>
      <x:c r="P498" s="40"/>
      <x:c r="Q498" s="36" t="str">
        <x:f>IF(P498="","",P498-TODAY())</x:f>
      </x:c>
      <x:c r="R498" s="36" t="str">
        <x:f>IF(E498="","",IF(X498="DUPLICATE","STOP — DUPLICATE",IF(OR(N498="Completed",N498="Cancelled",N498="Rejected",N498="Superseded"),"Closed",IF(P498="","No due date",IF(Q498&lt;0,"OVERDUE",IF(Q498&lt;=7,"DUE SOON","Open"))))))</x:f>
      </x:c>
      <x:c r="S498" s="36"/>
      <x:c r="T498" s="36"/>
      <x:c r="U498" s="36"/>
      <x:c r="V498" s="42"/>
      <x:c r="W498" s="36"/>
      <x:c r="X498" s="36" t="str">
        <x:f>IF(E498="","",IF(COUNTIF($E$7:$E$506,E498)&gt;1,"DUPLICATE","OK"))</x:f>
      </x:c>
    </x:row>
    <x:row r="499">
      <x:c r="A499" s="36" t="str">
        <x:v>NEX</x:v>
      </x:c>
      <x:c r="B499" s="36"/>
      <x:c r="C499" s="38"/>
      <x:c r="D499" s="38"/>
      <x:c r="E499" s="36" t="str">
        <x:f>IF(OR(A499="",B499="",C499="",D499=""),"",A499&amp;"-"&amp;B499&amp;"-"&amp;TEXT(C499,"0000")&amp;"-"&amp;TEXT(D499,"0000"))</x:f>
      </x:c>
      <x:c r="F499" s="36" t="str">
        <x:v>R0</x:v>
      </x:c>
      <x:c r="G499" s="40"/>
      <x:c r="H499" s="40"/>
      <x:c r="I499" s="36"/>
      <x:c r="J499" s="36"/>
      <x:c r="K499" s="36"/>
      <x:c r="L499" s="44"/>
      <x:c r="M499" s="36" t="str">
        <x:v>MYR</x:v>
      </x:c>
      <x:c r="N499" s="36"/>
      <x:c r="O499" s="36"/>
      <x:c r="P499" s="40"/>
      <x:c r="Q499" s="36" t="str">
        <x:f>IF(P499="","",P499-TODAY())</x:f>
      </x:c>
      <x:c r="R499" s="36" t="str">
        <x:f>IF(E499="","",IF(X499="DUPLICATE","STOP — DUPLICATE",IF(OR(N499="Completed",N499="Cancelled",N499="Rejected",N499="Superseded"),"Closed",IF(P499="","No due date",IF(Q499&lt;0,"OVERDUE",IF(Q499&lt;=7,"DUE SOON","Open"))))))</x:f>
      </x:c>
      <x:c r="S499" s="36"/>
      <x:c r="T499" s="36"/>
      <x:c r="U499" s="36"/>
      <x:c r="V499" s="42"/>
      <x:c r="W499" s="36"/>
      <x:c r="X499" s="36" t="str">
        <x:f>IF(E499="","",IF(COUNTIF($E$7:$E$506,E499)&gt;1,"DUPLICATE","OK"))</x:f>
      </x:c>
    </x:row>
    <x:row r="500">
      <x:c r="A500" s="36" t="str">
        <x:v>NEX</x:v>
      </x:c>
      <x:c r="B500" s="36"/>
      <x:c r="C500" s="38"/>
      <x:c r="D500" s="38"/>
      <x:c r="E500" s="36" t="str">
        <x:f>IF(OR(A500="",B500="",C500="",D500=""),"",A500&amp;"-"&amp;B500&amp;"-"&amp;TEXT(C500,"0000")&amp;"-"&amp;TEXT(D500,"0000"))</x:f>
      </x:c>
      <x:c r="F500" s="36" t="str">
        <x:v>R0</x:v>
      </x:c>
      <x:c r="G500" s="40"/>
      <x:c r="H500" s="40"/>
      <x:c r="I500" s="36"/>
      <x:c r="J500" s="36"/>
      <x:c r="K500" s="36"/>
      <x:c r="L500" s="44"/>
      <x:c r="M500" s="36" t="str">
        <x:v>MYR</x:v>
      </x:c>
      <x:c r="N500" s="36"/>
      <x:c r="O500" s="36"/>
      <x:c r="P500" s="40"/>
      <x:c r="Q500" s="36" t="str">
        <x:f>IF(P500="","",P500-TODAY())</x:f>
      </x:c>
      <x:c r="R500" s="36" t="str">
        <x:f>IF(E500="","",IF(X500="DUPLICATE","STOP — DUPLICATE",IF(OR(N500="Completed",N500="Cancelled",N500="Rejected",N500="Superseded"),"Closed",IF(P500="","No due date",IF(Q500&lt;0,"OVERDUE",IF(Q500&lt;=7,"DUE SOON","Open"))))))</x:f>
      </x:c>
      <x:c r="S500" s="36"/>
      <x:c r="T500" s="36"/>
      <x:c r="U500" s="36"/>
      <x:c r="V500" s="42"/>
      <x:c r="W500" s="36"/>
      <x:c r="X500" s="36" t="str">
        <x:f>IF(E500="","",IF(COUNTIF($E$7:$E$506,E500)&gt;1,"DUPLICATE","OK"))</x:f>
      </x:c>
    </x:row>
    <x:row r="501">
      <x:c r="A501" s="36" t="str">
        <x:v>NEX</x:v>
      </x:c>
      <x:c r="B501" s="36"/>
      <x:c r="C501" s="38"/>
      <x:c r="D501" s="38"/>
      <x:c r="E501" s="36" t="str">
        <x:f>IF(OR(A501="",B501="",C501="",D501=""),"",A501&amp;"-"&amp;B501&amp;"-"&amp;TEXT(C501,"0000")&amp;"-"&amp;TEXT(D501,"0000"))</x:f>
      </x:c>
      <x:c r="F501" s="36" t="str">
        <x:v>R0</x:v>
      </x:c>
      <x:c r="G501" s="40"/>
      <x:c r="H501" s="40"/>
      <x:c r="I501" s="36"/>
      <x:c r="J501" s="36"/>
      <x:c r="K501" s="36"/>
      <x:c r="L501" s="44"/>
      <x:c r="M501" s="36" t="str">
        <x:v>MYR</x:v>
      </x:c>
      <x:c r="N501" s="36"/>
      <x:c r="O501" s="36"/>
      <x:c r="P501" s="40"/>
      <x:c r="Q501" s="36" t="str">
        <x:f>IF(P501="","",P501-TODAY())</x:f>
      </x:c>
      <x:c r="R501" s="36" t="str">
        <x:f>IF(E501="","",IF(X501="DUPLICATE","STOP — DUPLICATE",IF(OR(N501="Completed",N501="Cancelled",N501="Rejected",N501="Superseded"),"Closed",IF(P501="","No due date",IF(Q501&lt;0,"OVERDUE",IF(Q501&lt;=7,"DUE SOON","Open"))))))</x:f>
      </x:c>
      <x:c r="S501" s="36"/>
      <x:c r="T501" s="36"/>
      <x:c r="U501" s="36"/>
      <x:c r="V501" s="42"/>
      <x:c r="W501" s="36"/>
      <x:c r="X501" s="36" t="str">
        <x:f>IF(E501="","",IF(COUNTIF($E$7:$E$506,E501)&gt;1,"DUPLICATE","OK"))</x:f>
      </x:c>
    </x:row>
    <x:row r="502">
      <x:c r="A502" s="36" t="str">
        <x:v>NEX</x:v>
      </x:c>
      <x:c r="B502" s="36"/>
      <x:c r="C502" s="38"/>
      <x:c r="D502" s="38"/>
      <x:c r="E502" s="36" t="str">
        <x:f>IF(OR(A502="",B502="",C502="",D502=""),"",A502&amp;"-"&amp;B502&amp;"-"&amp;TEXT(C502,"0000")&amp;"-"&amp;TEXT(D502,"0000"))</x:f>
      </x:c>
      <x:c r="F502" s="36" t="str">
        <x:v>R0</x:v>
      </x:c>
      <x:c r="G502" s="40"/>
      <x:c r="H502" s="40"/>
      <x:c r="I502" s="36"/>
      <x:c r="J502" s="36"/>
      <x:c r="K502" s="36"/>
      <x:c r="L502" s="44"/>
      <x:c r="M502" s="36" t="str">
        <x:v>MYR</x:v>
      </x:c>
      <x:c r="N502" s="36"/>
      <x:c r="O502" s="36"/>
      <x:c r="P502" s="40"/>
      <x:c r="Q502" s="36" t="str">
        <x:f>IF(P502="","",P502-TODAY())</x:f>
      </x:c>
      <x:c r="R502" s="36" t="str">
        <x:f>IF(E502="","",IF(X502="DUPLICATE","STOP — DUPLICATE",IF(OR(N502="Completed",N502="Cancelled",N502="Rejected",N502="Superseded"),"Closed",IF(P502="","No due date",IF(Q502&lt;0,"OVERDUE",IF(Q502&lt;=7,"DUE SOON","Open"))))))</x:f>
      </x:c>
      <x:c r="S502" s="36"/>
      <x:c r="T502" s="36"/>
      <x:c r="U502" s="36"/>
      <x:c r="V502" s="42"/>
      <x:c r="W502" s="36"/>
      <x:c r="X502" s="36" t="str">
        <x:f>IF(E502="","",IF(COUNTIF($E$7:$E$506,E502)&gt;1,"DUPLICATE","OK"))</x:f>
      </x:c>
    </x:row>
    <x:row r="503">
      <x:c r="A503" s="36" t="str">
        <x:v>NEX</x:v>
      </x:c>
      <x:c r="B503" s="36"/>
      <x:c r="C503" s="38"/>
      <x:c r="D503" s="38"/>
      <x:c r="E503" s="36" t="str">
        <x:f>IF(OR(A503="",B503="",C503="",D503=""),"",A503&amp;"-"&amp;B503&amp;"-"&amp;TEXT(C503,"0000")&amp;"-"&amp;TEXT(D503,"0000"))</x:f>
      </x:c>
      <x:c r="F503" s="36" t="str">
        <x:v>R0</x:v>
      </x:c>
      <x:c r="G503" s="40"/>
      <x:c r="H503" s="40"/>
      <x:c r="I503" s="36"/>
      <x:c r="J503" s="36"/>
      <x:c r="K503" s="36"/>
      <x:c r="L503" s="44"/>
      <x:c r="M503" s="36" t="str">
        <x:v>MYR</x:v>
      </x:c>
      <x:c r="N503" s="36"/>
      <x:c r="O503" s="36"/>
      <x:c r="P503" s="40"/>
      <x:c r="Q503" s="36" t="str">
        <x:f>IF(P503="","",P503-TODAY())</x:f>
      </x:c>
      <x:c r="R503" s="36" t="str">
        <x:f>IF(E503="","",IF(X503="DUPLICATE","STOP — DUPLICATE",IF(OR(N503="Completed",N503="Cancelled",N503="Rejected",N503="Superseded"),"Closed",IF(P503="","No due date",IF(Q503&lt;0,"OVERDUE",IF(Q503&lt;=7,"DUE SOON","Open"))))))</x:f>
      </x:c>
      <x:c r="S503" s="36"/>
      <x:c r="T503" s="36"/>
      <x:c r="U503" s="36"/>
      <x:c r="V503" s="42"/>
      <x:c r="W503" s="36"/>
      <x:c r="X503" s="36" t="str">
        <x:f>IF(E503="","",IF(COUNTIF($E$7:$E$506,E503)&gt;1,"DUPLICATE","OK"))</x:f>
      </x:c>
    </x:row>
    <x:row r="504">
      <x:c r="A504" s="36" t="str">
        <x:v>NEX</x:v>
      </x:c>
      <x:c r="B504" s="36"/>
      <x:c r="C504" s="38"/>
      <x:c r="D504" s="38"/>
      <x:c r="E504" s="36" t="str">
        <x:f>IF(OR(A504="",B504="",C504="",D504=""),"",A504&amp;"-"&amp;B504&amp;"-"&amp;TEXT(C504,"0000")&amp;"-"&amp;TEXT(D504,"0000"))</x:f>
      </x:c>
      <x:c r="F504" s="36" t="str">
        <x:v>R0</x:v>
      </x:c>
      <x:c r="G504" s="40"/>
      <x:c r="H504" s="40"/>
      <x:c r="I504" s="36"/>
      <x:c r="J504" s="36"/>
      <x:c r="K504" s="36"/>
      <x:c r="L504" s="44"/>
      <x:c r="M504" s="36" t="str">
        <x:v>MYR</x:v>
      </x:c>
      <x:c r="N504" s="36"/>
      <x:c r="O504" s="36"/>
      <x:c r="P504" s="40"/>
      <x:c r="Q504" s="36" t="str">
        <x:f>IF(P504="","",P504-TODAY())</x:f>
      </x:c>
      <x:c r="R504" s="36" t="str">
        <x:f>IF(E504="","",IF(X504="DUPLICATE","STOP — DUPLICATE",IF(OR(N504="Completed",N504="Cancelled",N504="Rejected",N504="Superseded"),"Closed",IF(P504="","No due date",IF(Q504&lt;0,"OVERDUE",IF(Q504&lt;=7,"DUE SOON","Open"))))))</x:f>
      </x:c>
      <x:c r="S504" s="36"/>
      <x:c r="T504" s="36"/>
      <x:c r="U504" s="36"/>
      <x:c r="V504" s="42"/>
      <x:c r="W504" s="36"/>
      <x:c r="X504" s="36" t="str">
        <x:f>IF(E504="","",IF(COUNTIF($E$7:$E$506,E504)&gt;1,"DUPLICATE","OK"))</x:f>
      </x:c>
    </x:row>
    <x:row r="505">
      <x:c r="A505" s="36" t="str">
        <x:v>NEX</x:v>
      </x:c>
      <x:c r="B505" s="36"/>
      <x:c r="C505" s="38"/>
      <x:c r="D505" s="38"/>
      <x:c r="E505" s="36" t="str">
        <x:f>IF(OR(A505="",B505="",C505="",D505=""),"",A505&amp;"-"&amp;B505&amp;"-"&amp;TEXT(C505,"0000")&amp;"-"&amp;TEXT(D505,"0000"))</x:f>
      </x:c>
      <x:c r="F505" s="36" t="str">
        <x:v>R0</x:v>
      </x:c>
      <x:c r="G505" s="40"/>
      <x:c r="H505" s="40"/>
      <x:c r="I505" s="36"/>
      <x:c r="J505" s="36"/>
      <x:c r="K505" s="36"/>
      <x:c r="L505" s="44"/>
      <x:c r="M505" s="36" t="str">
        <x:v>MYR</x:v>
      </x:c>
      <x:c r="N505" s="36"/>
      <x:c r="O505" s="36"/>
      <x:c r="P505" s="40"/>
      <x:c r="Q505" s="36" t="str">
        <x:f>IF(P505="","",P505-TODAY())</x:f>
      </x:c>
      <x:c r="R505" s="36" t="str">
        <x:f>IF(E505="","",IF(X505="DUPLICATE","STOP — DUPLICATE",IF(OR(N505="Completed",N505="Cancelled",N505="Rejected",N505="Superseded"),"Closed",IF(P505="","No due date",IF(Q505&lt;0,"OVERDUE",IF(Q505&lt;=7,"DUE SOON","Open"))))))</x:f>
      </x:c>
      <x:c r="S505" s="36"/>
      <x:c r="T505" s="36"/>
      <x:c r="U505" s="36"/>
      <x:c r="V505" s="42"/>
      <x:c r="W505" s="36"/>
      <x:c r="X505" s="36" t="str">
        <x:f>IF(E505="","",IF(COUNTIF($E$7:$E$506,E505)&gt;1,"DUPLICATE","OK"))</x:f>
      </x:c>
    </x:row>
    <x:row r="506">
      <x:c r="A506" s="37" t="str">
        <x:v>NEX</x:v>
      </x:c>
      <x:c r="B506" s="37"/>
      <x:c r="C506" s="39"/>
      <x:c r="D506" s="39"/>
      <x:c r="E506" s="37" t="str">
        <x:f>IF(OR(A506="",B506="",C506="",D506=""),"",A506&amp;"-"&amp;B506&amp;"-"&amp;TEXT(C506,"0000")&amp;"-"&amp;TEXT(D506,"0000"))</x:f>
      </x:c>
      <x:c r="F506" s="37" t="str">
        <x:v>R0</x:v>
      </x:c>
      <x:c r="G506" s="41"/>
      <x:c r="H506" s="41"/>
      <x:c r="I506" s="37"/>
      <x:c r="J506" s="37"/>
      <x:c r="K506" s="37"/>
      <x:c r="L506" s="45"/>
      <x:c r="M506" s="37" t="str">
        <x:v>MYR</x:v>
      </x:c>
      <x:c r="N506" s="37"/>
      <x:c r="O506" s="37"/>
      <x:c r="P506" s="41"/>
      <x:c r="Q506" s="37" t="str">
        <x:f>IF(P506="","",P506-TODAY())</x:f>
      </x:c>
      <x:c r="R506" s="37" t="str">
        <x:f>IF(E506="","",IF(X506="DUPLICATE","STOP — DUPLICATE",IF(OR(N506="Completed",N506="Cancelled",N506="Rejected",N506="Superseded"),"Closed",IF(P506="","No due date",IF(Q506&lt;0,"OVERDUE",IF(Q506&lt;=7,"DUE SOON","Open"))))))</x:f>
      </x:c>
      <x:c r="S506" s="37"/>
      <x:c r="T506" s="37"/>
      <x:c r="U506" s="37"/>
      <x:c r="V506" s="43"/>
      <x:c r="W506" s="37"/>
      <x:c r="X506" s="37" t="str">
        <x:f>IF(E506="","",IF(COUNTIF($E$7:$E$506,E506)&gt;1,"DUPLICATE","OK"))</x:f>
      </x:c>
    </x:row>
  </x:sheetData>
  <x:mergeCells>
    <x:mergeCell ref="A1:X1"/>
    <x:mergeCell ref="A2:X2"/>
    <x:mergeCell ref="A3:X4"/>
  </x:mergeCells>
  <x:conditionalFormatting sqref="X7:X506">
    <x:cfRule type="containsText" dxfId="0" priority="1" operator="containsText" text="DUPLICATE"/>
  </x:conditionalFormatting>
  <x:conditionalFormatting sqref="R7:R506">
    <x:cfRule type="containsText" dxfId="1" priority="2" operator="containsText" text="OVERDUE"/>
    <x:cfRule type="containsText" dxfId="2" priority="3" operator="containsText" text="DUE SOON"/>
    <x:cfRule type="containsText" dxfId="3" priority="4" operator="containsText" text="Closed"/>
  </x:conditionalFormatting>
  <x:dataValidations count="4">
    <x:dataValidation type="list" sqref="B7:B506">
      <x:formula1>LISTS!$A$5:$A$36</x:formula1>
    </x:dataValidation>
    <x:dataValidation type="list" sqref="I7:I506">
      <x:formula1>LISTS!$G$5:$G$12</x:formula1>
    </x:dataValidation>
    <x:dataValidation type="list" sqref="M7:M506">
      <x:formula1>LISTS!$H$5:$H$13</x:formula1>
    </x:dataValidation>
    <x:dataValidation type="list" sqref="N7:N506">
      <x:formula1>LISTS!$F$5:$F$16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84450255b64df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9" hidden="0" customWidth="1"/>
    <x:col min="4" max="4" width="10" hidden="0" customWidth="1"/>
    <x:col min="5" max="5" width="25" hidden="0" customWidth="1"/>
    <x:col min="6" max="6" width="9" hidden="0" customWidth="1"/>
    <x:col min="7" max="7" width="14" hidden="0" customWidth="1"/>
    <x:col min="8" max="8" width="14" hidden="0" customWidth="1"/>
    <x:col min="9" max="9" width="18" hidden="0" customWidth="1"/>
    <x:col min="10" max="10" width="26" hidden="0" customWidth="1"/>
    <x:col min="11" max="11" width="38" hidden="0" customWidth="1"/>
    <x:col min="12" max="12" width="14" hidden="0" customWidth="1"/>
    <x:col min="13" max="13" width="11" hidden="0" customWidth="1"/>
    <x:col min="14" max="14" width="16" hidden="0" customWidth="1"/>
    <x:col min="15" max="15" width="18" hidden="0" customWidth="1"/>
    <x:col min="16" max="16" width="16" hidden="0" customWidth="1"/>
    <x:col min="17" max="17" width="13" hidden="0" customWidth="1"/>
    <x:col min="18" max="18" width="18" hidden="0" customWidth="1"/>
    <x:col min="19" max="19" width="25" hidden="0" customWidth="1"/>
    <x:col min="20" max="20" width="24" hidden="0" customWidth="1"/>
    <x:col min="21" max="21" width="34" hidden="0" customWidth="1"/>
    <x:col min="22" max="22" width="18" hidden="0" customWidth="1"/>
    <x:col min="23" max="23" width="38" hidden="0" customWidth="1"/>
    <x:col min="24" max="24" width="17" hidden="0" customWidth="1"/>
  </x:cols>
  <x:sheetData>
    <x:row r="1" ht="38" customHeight="1">
      <x:c r="A1" s="3" t="str">
        <x:v>BizKick EDCS — Transaction Search</x:v>
      </x:c>
      <x:c r="B1" s="3" t="str">
        <x:v>BizKick EDCS — Transaction Search</x:v>
      </x:c>
      <x:c r="C1" s="3" t="str">
        <x:v>BizKick EDCS — Transaction Search</x:v>
      </x:c>
      <x:c r="D1" s="3" t="str">
        <x:v>BizKick EDCS — Transaction Search</x:v>
      </x:c>
      <x:c r="E1" s="3" t="str">
        <x:v>BizKick EDCS — Transaction Search</x:v>
      </x:c>
      <x:c r="F1" s="3" t="str">
        <x:v>BizKick EDCS — Transaction Search</x:v>
      </x:c>
      <x:c r="G1" s="3" t="str">
        <x:v>BizKick EDCS — Transaction Search</x:v>
      </x:c>
      <x:c r="H1" s="3" t="str">
        <x:v>BizKick EDCS — Transaction Search</x:v>
      </x:c>
      <x:c r="I1" s="3" t="str">
        <x:v>BizKick EDCS — Transaction Search</x:v>
      </x:c>
      <x:c r="J1" s="3" t="str">
        <x:v>BizKick EDCS — Transaction Search</x:v>
      </x:c>
      <x:c r="K1" s="3" t="str">
        <x:v>BizKick EDCS — Transaction Search</x:v>
      </x:c>
      <x:c r="L1" s="3" t="str">
        <x:v>BizKick EDCS — Transaction Search</x:v>
      </x:c>
      <x:c r="M1" s="3" t="str">
        <x:v>BizKick EDCS — Transaction Search</x:v>
      </x:c>
      <x:c r="N1" s="3" t="str">
        <x:v>BizKick EDCS — Transaction Search</x:v>
      </x:c>
      <x:c r="O1" s="3" t="str">
        <x:v>BizKick EDCS — Transaction Search</x:v>
      </x:c>
      <x:c r="P1" s="3" t="str">
        <x:v>BizKick EDCS — Transaction Search</x:v>
      </x:c>
      <x:c r="Q1" s="3" t="str">
        <x:v>BizKick EDCS — Transaction Search</x:v>
      </x:c>
      <x:c r="R1" s="3" t="str">
        <x:v>BizKick EDCS — Transaction Search</x:v>
      </x:c>
      <x:c r="S1" s="3" t="str">
        <x:v>BizKick EDCS — Transaction Search</x:v>
      </x:c>
      <x:c r="T1" s="3" t="str">
        <x:v>BizKick EDCS — Transaction Search</x:v>
      </x:c>
      <x:c r="U1" s="3" t="str">
        <x:v>BizKick EDCS — Transaction Search</x:v>
      </x:c>
      <x:c r="V1" s="3" t="str">
        <x:v>BizKick EDCS — Transaction Search</x:v>
      </x:c>
      <x:c r="W1" s="3" t="str">
        <x:v>BizKick EDCS — Transaction Search</x:v>
      </x:c>
      <x:c r="X1" s="3" t="str">
        <x:v>BizKick EDCS — Transaction Search</x:v>
      </x:c>
    </x:row>
    <x:row r="2" ht="25" customHeight="1">
      <x:c r="A2" s="5" t="str">
        <x:v>Search by transaction ID, customer/supplier/employee name, subject, description or external reference.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4">
      <x:c r="A4" s="46" t="str">
        <x:v>Search text</x:v>
      </x:c>
      <x:c r="B4" s="51" t="str"/>
    </x:row>
    <x:row r="5">
      <x:c r="A5" s="46" t="str">
        <x:v>Document Type</x:v>
      </x:c>
      <x:c r="B5" s="52" t="str">
        <x:v>All</x:v>
      </x:c>
    </x:row>
    <x:row r="6">
      <x:c r="A6" s="46" t="str">
        <x:v>Status</x:v>
      </x:c>
      <x:c r="B6" s="52" t="str">
        <x:v>All</x:v>
      </x:c>
    </x:row>
    <x:row r="7">
      <x:c r="A7" s="46" t="str">
        <x:v>How to use</x:v>
      </x:c>
      <x:c r="B7" s="53" t="str">
        <x:v>Enter any word or part of a name. Optional filters narrow the result.</x:v>
      </x:c>
    </x:row>
    <x:row r="10">
      <x:c r="A10" s="10" t="str">
        <x:v>Company Code</x:v>
      </x:c>
      <x:c r="B10" s="10" t="str">
        <x:v>Document Type</x:v>
      </x:c>
      <x:c r="C10" s="10" t="str">
        <x:v>Year</x:v>
      </x:c>
      <x:c r="D10" s="10" t="str">
        <x:v>Sequence</x:v>
      </x:c>
      <x:c r="E10" s="10" t="str">
        <x:v>Transaction ID</x:v>
      </x:c>
      <x:c r="F10" s="10" t="str">
        <x:v>Revision</x:v>
      </x:c>
      <x:c r="G10" s="10" t="str">
        <x:v>Date Reserved</x:v>
      </x:c>
      <x:c r="H10" s="10" t="str">
        <x:v>Date Issued</x:v>
      </x:c>
      <x:c r="I10" s="10" t="str">
        <x:v>Counterparty Type</x:v>
      </x:c>
      <x:c r="J10" s="10" t="str">
        <x:v>Counterparty Name</x:v>
      </x:c>
      <x:c r="K10" s="10" t="str">
        <x:v>Subject / Description</x:v>
      </x:c>
      <x:c r="L10" s="10" t="str">
        <x:v>Amount</x:v>
      </x:c>
      <x:c r="M10" s="10" t="str">
        <x:v>Currency</x:v>
      </x:c>
      <x:c r="N10" s="10" t="str">
        <x:v>Status</x:v>
      </x:c>
      <x:c r="O10" s="10" t="str">
        <x:v>Owner</x:v>
      </x:c>
      <x:c r="P10" s="10" t="str">
        <x:v>Expiry / Due Date</x:v>
      </x:c>
      <x:c r="Q10" s="10" t="str">
        <x:v>Days to Expiry</x:v>
      </x:c>
      <x:c r="R10" s="10" t="str">
        <x:v>Alert</x:v>
      </x:c>
      <x:c r="S10" s="10" t="str">
        <x:v>Related Transaction ID</x:v>
      </x:c>
      <x:c r="T10" s="10" t="str">
        <x:v>Original External Ref</x:v>
      </x:c>
      <x:c r="U10" s="10" t="str">
        <x:v>File Link / Path</x:v>
      </x:c>
      <x:c r="V10" s="10" t="str">
        <x:v>Last Updated</x:v>
      </x:c>
      <x:c r="W10" s="10" t="str">
        <x:v>Remarks</x:v>
      </x:c>
      <x:c r="X10" s="10" t="str">
        <x:v>Duplicate Check</x:v>
      </x:c>
    </x:row>
    <x:row r="11">
      <x:c r="A11" t="str">
        <x:f>FILTER('TRANSACTION REGISTER'!A7:X506,('TRANSACTION REGISTER'!E7:E506&lt;&gt;"")*IF($B$4="",1,(ISNUMBER(SEARCH($B$4,'TRANSACTION REGISTER'!E7:E506))+ISNUMBER(SEARCH($B$4,'TRANSACTION REGISTER'!J7:J506))+ISNUMBER(SEARCH($B$4,'TRANSACTION REGISTER'!K7:K506))+ISNUMBER(SEARCH($B$4,'TRANSACTION REGISTER'!T7:T506)))&gt;0)*IF($B$5="All",1,'TRANSACTION REGISTER'!B7:B506=$B$5)*IF($B$6="All",1,'TRANSACTION REGISTER'!N7:N506=$B$6),"No matching records")</x:f>
        <x:v>No matching records</x:v>
      </x:c>
    </x:row>
  </x:sheetData>
  <x:mergeCells>
    <x:mergeCell ref="A1:X1"/>
    <x:mergeCell ref="A2:X2"/>
  </x:mergeCells>
  <x:dataValidations count="2">
    <x:dataValidation type="list" sqref="B5">
      <x:formula1>"All,QT,SO,DO,INV,RC,CN,CMP,PR,RFQ,QC,PO,GRN,SE,PV,EC,PCV,BR,JV,EMP,LV,TS,OT,EXIT,SI,ST,SA,SCV,NDA,AGR,MIN,DEC,INC"</x:formula1>
    </x:dataValidation>
    <x:dataValidation type="list" sqref="B6">
      <x:formula1>"All,Reserved,Draft,Under Review,Approved,Issued,Accepted,Rejected,Expired,Completed,Cancelled,Superseded,On Hold"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8" customHeight="1">
      <x:c r="A1" s="3" t="str">
        <x:v>BizKick EDCS — Transaction Dashboard</x:v>
      </x:c>
      <x:c r="B1" s="3" t="str">
        <x:v>BizKick EDCS — Transaction Dashboard</x:v>
      </x:c>
      <x:c r="C1" s="3" t="str">
        <x:v>BizKick EDCS — Transaction Dashboard</x:v>
      </x:c>
      <x:c r="D1" s="3" t="str">
        <x:v>BizKick EDCS — Transaction Dashboard</x:v>
      </x:c>
      <x:c r="E1" s="3" t="str">
        <x:v>BizKick EDCS — Transaction Dashboard</x:v>
      </x:c>
      <x:c r="F1" s="3" t="str">
        <x:v>BizKick EDCS — Transaction Dashboard</x:v>
      </x:c>
      <x:c r="G1" s="3" t="str">
        <x:v>BizKick EDCS — Transaction Dashboard</x:v>
      </x:c>
      <x:c r="H1" s="3" t="str">
        <x:v>BizKick EDCS — Transaction Dashboard</x:v>
      </x:c>
      <x:c r="I1" s="3" t="str">
        <x:v>BizKick EDCS — Transaction Dashboard</x:v>
      </x:c>
      <x:c r="J1" s="3" t="str">
        <x:v>BizKick EDCS — Transaction Dashboard</x:v>
      </x:c>
      <x:c r="K1" s="3" t="str">
        <x:v>BizKick EDCS — Transaction Dashboard</x:v>
      </x:c>
      <x:c r="L1" s="3" t="str">
        <x:v>BizKick EDCS — Transaction Dashboard</x:v>
      </x:c>
    </x:row>
    <x:row r="2" ht="25" customHeight="1">
      <x:c r="A2" s="5" t="str">
        <x:v>Live operational summary based on the central register.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4">
      <x:c r="A4" s="10" t="str">
        <x:v>Total Registered</x:v>
      </x:c>
      <x:c r="B4" s="10" t="str">
        <x:v>Reserved / Draft</x:v>
      </x:c>
      <x:c r="C4" s="10" t="str">
        <x:v>Open / Issued</x:v>
      </x:c>
      <x:c r="D4" s="10" t="str">
        <x:v>Completed / Accepted</x:v>
      </x:c>
      <x:c r="E4" s="10" t="str">
        <x:v>Overdue</x:v>
      </x:c>
      <x:c r="F4" s="10" t="str">
        <x:v>Due Soon</x:v>
      </x:c>
      <x:c r="G4" s="10" t="str">
        <x:v>Duplicates</x:v>
      </x:c>
      <x:c r="H4" s="10" t="str">
        <x:v>Current Year</x:v>
      </x:c>
    </x:row>
    <x:row r="5" ht="34" customHeight="1">
      <x:c r="A5" s="58" t="n">
        <x:f>COUNTIF('TRANSACTION REGISTER'!$E$7:$E$506,"?*")</x:f>
        <x:v>0</x:v>
      </x:c>
      <x:c r="B5" s="58" t="n">
        <x:f>COUNTIF('TRANSACTION REGISTER'!$N$7:$N$506,"Reserved")+COUNTIF('TRANSACTION REGISTER'!$N$7:$N$506,"Draft")</x:f>
        <x:v>0</x:v>
      </x:c>
      <x:c r="C5" s="58" t="n">
        <x:f>COUNTIF('TRANSACTION REGISTER'!$N$7:$N$506,"Issued")+COUNTIF('TRANSACTION REGISTER'!$N$7:$N$506,"Under Review")+COUNTIF('TRANSACTION REGISTER'!$N$7:$N$506,"Approved")</x:f>
        <x:v>0</x:v>
      </x:c>
      <x:c r="D5" s="58" t="n">
        <x:f>COUNTIF('TRANSACTION REGISTER'!$N$7:$N$506,"Completed")+COUNTIF('TRANSACTION REGISTER'!$N$7:$N$506,"Accepted")</x:f>
        <x:v>0</x:v>
      </x:c>
      <x:c r="E5" s="58" t="n">
        <x:f>COUNTIF('TRANSACTION REGISTER'!$R$7:$R$506,"OVERDUE")</x:f>
        <x:v>0</x:v>
      </x:c>
      <x:c r="F5" s="58" t="n">
        <x:f>COUNTIF('TRANSACTION REGISTER'!$R$7:$R$506,"DUE SOON")</x:f>
        <x:v>0</x:v>
      </x:c>
      <x:c r="G5" s="58" t="n">
        <x:f>COUNTIF('TRANSACTION REGISTER'!$X$7:$X$506,"DUPLICATE")</x:f>
        <x:v>0</x:v>
      </x:c>
      <x:c r="H5" s="58" t="n">
        <x:f>COUNTIF('TRANSACTION REGISTER'!$C$7:$C$506,YEAR(TODAY()))</x:f>
        <x:v>0</x:v>
      </x:c>
    </x:row>
    <x:row r="9">
      <x:c r="A9" s="10" t="str">
        <x:v>Status</x:v>
      </x:c>
      <x:c r="B9" s="10" t="str">
        <x:v>Count</x:v>
      </x:c>
    </x:row>
    <x:row r="10">
      <x:c r="A10" s="21" t="str">
        <x:v>Reserved</x:v>
      </x:c>
      <x:c r="B10" s="23" t="n">
        <x:f>COUNTIF('TRANSACTION REGISTER'!$N$7:$N$506,A10)</x:f>
        <x:v>0</x:v>
      </x:c>
    </x:row>
    <x:row r="11">
      <x:c r="A11" s="24" t="str">
        <x:v>Draft</x:v>
      </x:c>
      <x:c r="B11" s="26" t="n">
        <x:f>COUNTIF('TRANSACTION REGISTER'!$N$7:$N$506,A11)</x:f>
        <x:v>0</x:v>
      </x:c>
    </x:row>
    <x:row r="12">
      <x:c r="A12" s="24" t="str">
        <x:v>Under Review</x:v>
      </x:c>
      <x:c r="B12" s="26" t="n">
        <x:f>COUNTIF('TRANSACTION REGISTER'!$N$7:$N$506,A12)</x:f>
        <x:v>0</x:v>
      </x:c>
    </x:row>
    <x:row r="13">
      <x:c r="A13" s="24" t="str">
        <x:v>Approved</x:v>
      </x:c>
      <x:c r="B13" s="26" t="n">
        <x:f>COUNTIF('TRANSACTION REGISTER'!$N$7:$N$506,A13)</x:f>
        <x:v>0</x:v>
      </x:c>
    </x:row>
    <x:row r="14">
      <x:c r="A14" s="24" t="str">
        <x:v>Issued</x:v>
      </x:c>
      <x:c r="B14" s="26" t="n">
        <x:f>COUNTIF('TRANSACTION REGISTER'!$N$7:$N$506,A14)</x:f>
        <x:v>0</x:v>
      </x:c>
    </x:row>
    <x:row r="15">
      <x:c r="A15" s="24" t="str">
        <x:v>Accepted</x:v>
      </x:c>
      <x:c r="B15" s="26" t="n">
        <x:f>COUNTIF('TRANSACTION REGISTER'!$N$7:$N$506,A15)</x:f>
        <x:v>0</x:v>
      </x:c>
    </x:row>
    <x:row r="16">
      <x:c r="A16" s="24" t="str">
        <x:v>Rejected</x:v>
      </x:c>
      <x:c r="B16" s="26" t="n">
        <x:f>COUNTIF('TRANSACTION REGISTER'!$N$7:$N$506,A16)</x:f>
        <x:v>0</x:v>
      </x:c>
    </x:row>
    <x:row r="17">
      <x:c r="A17" s="24" t="str">
        <x:v>Expired</x:v>
      </x:c>
      <x:c r="B17" s="26" t="n">
        <x:f>COUNTIF('TRANSACTION REGISTER'!$N$7:$N$506,A17)</x:f>
        <x:v>0</x:v>
      </x:c>
    </x:row>
    <x:row r="18">
      <x:c r="A18" s="24" t="str">
        <x:v>Completed</x:v>
      </x:c>
      <x:c r="B18" s="26" t="n">
        <x:f>COUNTIF('TRANSACTION REGISTER'!$N$7:$N$506,A18)</x:f>
        <x:v>0</x:v>
      </x:c>
    </x:row>
    <x:row r="19">
      <x:c r="A19" s="24" t="str">
        <x:v>Cancelled</x:v>
      </x:c>
      <x:c r="B19" s="26" t="n">
        <x:f>COUNTIF('TRANSACTION REGISTER'!$N$7:$N$506,A19)</x:f>
        <x:v>0</x:v>
      </x:c>
    </x:row>
    <x:row r="20">
      <x:c r="A20" s="24" t="str">
        <x:v>Superseded</x:v>
      </x:c>
      <x:c r="B20" s="26" t="n">
        <x:f>COUNTIF('TRANSACTION REGISTER'!$N$7:$N$506,A20)</x:f>
        <x:v>0</x:v>
      </x:c>
    </x:row>
    <x:row r="21">
      <x:c r="A21" s="27" t="str">
        <x:v>On Hold</x:v>
      </x:c>
      <x:c r="B21" s="29" t="n">
        <x:f>COUNTIF('TRANSACTION REGISTER'!$N$7:$N$506,A21)</x:f>
        <x:v>0</x:v>
      </x:c>
    </x:row>
    <x:row r="28">
      <x:c r="A28" s="10" t="str">
        <x:v>Document Type</x:v>
      </x:c>
      <x:c r="B28" s="10" t="str">
        <x:v>Registered</x:v>
      </x:c>
      <x:c r="C28" s="10" t="str">
        <x:v>Value</x:v>
      </x:c>
      <x:c r="D28" s="10" t="str">
        <x:v>Open Items</x:v>
      </x:c>
    </x:row>
    <x:row r="29">
      <x:c r="A29" s="21" t="str">
        <x:v>QT</x:v>
      </x:c>
      <x:c r="B29" s="22" t="n">
        <x:f>COUNTIF('TRANSACTION REGISTER'!$B$7:$B$506,A29)</x:f>
        <x:v>0</x:v>
      </x:c>
      <x:c r="C29" s="59" t="n">
        <x:f>SUMIF('TRANSACTION REGISTER'!$B$7:$B$506,A29,'TRANSACTION REGISTER'!$L$7:$L$506)</x:f>
        <x:v>0</x:v>
      </x:c>
      <x:c r="D29" s="23" t="n">
        <x:f>COUNTIFS('TRANSACTION REGISTER'!$B$7:$B$506,A29,'TRANSACTION REGISTER'!$N$7:$N$506,"&lt;&gt;Completed",'TRANSACTION REGISTER'!$N$7:$N$506,"&lt;&gt;Cancelled",'TRANSACTION REGISTER'!$E$7:$E$506,"?*")</x:f>
        <x:v>0</x:v>
      </x:c>
    </x:row>
    <x:row r="30">
      <x:c r="A30" s="24" t="str">
        <x:v>SO</x:v>
      </x:c>
      <x:c r="B30" s="25" t="n">
        <x:f>COUNTIF('TRANSACTION REGISTER'!$B$7:$B$506,A30)</x:f>
        <x:v>0</x:v>
      </x:c>
      <x:c r="C30" s="60" t="n">
        <x:f>SUMIF('TRANSACTION REGISTER'!$B$7:$B$506,A30,'TRANSACTION REGISTER'!$L$7:$L$506)</x:f>
        <x:v>0</x:v>
      </x:c>
      <x:c r="D30" s="26" t="n">
        <x:f>COUNTIFS('TRANSACTION REGISTER'!$B$7:$B$506,A30,'TRANSACTION REGISTER'!$N$7:$N$506,"&lt;&gt;Completed",'TRANSACTION REGISTER'!$N$7:$N$506,"&lt;&gt;Cancelled",'TRANSACTION REGISTER'!$E$7:$E$506,"?*")</x:f>
        <x:v>0</x:v>
      </x:c>
    </x:row>
    <x:row r="31">
      <x:c r="A31" s="24" t="str">
        <x:v>PO</x:v>
      </x:c>
      <x:c r="B31" s="25" t="n">
        <x:f>COUNTIF('TRANSACTION REGISTER'!$B$7:$B$506,A31)</x:f>
        <x:v>0</x:v>
      </x:c>
      <x:c r="C31" s="60" t="n">
        <x:f>SUMIF('TRANSACTION REGISTER'!$B$7:$B$506,A31,'TRANSACTION REGISTER'!$L$7:$L$506)</x:f>
        <x:v>0</x:v>
      </x:c>
      <x:c r="D31" s="26" t="n">
        <x:f>COUNTIFS('TRANSACTION REGISTER'!$B$7:$B$506,A31,'TRANSACTION REGISTER'!$N$7:$N$506,"&lt;&gt;Completed",'TRANSACTION REGISTER'!$N$7:$N$506,"&lt;&gt;Cancelled",'TRANSACTION REGISTER'!$E$7:$E$506,"?*")</x:f>
        <x:v>0</x:v>
      </x:c>
    </x:row>
    <x:row r="32">
      <x:c r="A32" s="24" t="str">
        <x:v>PV</x:v>
      </x:c>
      <x:c r="B32" s="25" t="n">
        <x:f>COUNTIF('TRANSACTION REGISTER'!$B$7:$B$506,A32)</x:f>
        <x:v>0</x:v>
      </x:c>
      <x:c r="C32" s="60" t="n">
        <x:f>SUMIF('TRANSACTION REGISTER'!$B$7:$B$506,A32,'TRANSACTION REGISTER'!$L$7:$L$506)</x:f>
        <x:v>0</x:v>
      </x:c>
      <x:c r="D32" s="26" t="n">
        <x:f>COUNTIFS('TRANSACTION REGISTER'!$B$7:$B$506,A32,'TRANSACTION REGISTER'!$N$7:$N$506,"&lt;&gt;Completed",'TRANSACTION REGISTER'!$N$7:$N$506,"&lt;&gt;Cancelled",'TRANSACTION REGISTER'!$E$7:$E$506,"?*")</x:f>
        <x:v>0</x:v>
      </x:c>
    </x:row>
    <x:row r="33">
      <x:c r="A33" s="24" t="str">
        <x:v>INV</x:v>
      </x:c>
      <x:c r="B33" s="25" t="n">
        <x:f>COUNTIF('TRANSACTION REGISTER'!$B$7:$B$506,A33)</x:f>
        <x:v>0</x:v>
      </x:c>
      <x:c r="C33" s="60" t="n">
        <x:f>SUMIF('TRANSACTION REGISTER'!$B$7:$B$506,A33,'TRANSACTION REGISTER'!$L$7:$L$506)</x:f>
        <x:v>0</x:v>
      </x:c>
      <x:c r="D33" s="26" t="n">
        <x:f>COUNTIFS('TRANSACTION REGISTER'!$B$7:$B$506,A33,'TRANSACTION REGISTER'!$N$7:$N$506,"&lt;&gt;Completed",'TRANSACTION REGISTER'!$N$7:$N$506,"&lt;&gt;Cancelled",'TRANSACTION REGISTER'!$E$7:$E$506,"?*")</x:f>
        <x:v>0</x:v>
      </x:c>
    </x:row>
    <x:row r="34">
      <x:c r="A34" s="24" t="str">
        <x:v>NDA</x:v>
      </x:c>
      <x:c r="B34" s="25" t="n">
        <x:f>COUNTIF('TRANSACTION REGISTER'!$B$7:$B$506,A34)</x:f>
        <x:v>0</x:v>
      </x:c>
      <x:c r="C34" s="60" t="n">
        <x:f>SUMIF('TRANSACTION REGISTER'!$B$7:$B$506,A34,'TRANSACTION REGISTER'!$L$7:$L$506)</x:f>
        <x:v>0</x:v>
      </x:c>
      <x:c r="D34" s="26" t="n">
        <x:f>COUNTIFS('TRANSACTION REGISTER'!$B$7:$B$506,A34,'TRANSACTION REGISTER'!$N$7:$N$506,"&lt;&gt;Completed",'TRANSACTION REGISTER'!$N$7:$N$506,"&lt;&gt;Cancelled",'TRANSACTION REGISTER'!$E$7:$E$506,"?*")</x:f>
        <x:v>0</x:v>
      </x:c>
    </x:row>
    <x:row r="35">
      <x:c r="A35" s="27" t="str">
        <x:v>INC</x:v>
      </x:c>
      <x:c r="B35" s="28" t="n">
        <x:f>COUNTIF('TRANSACTION REGISTER'!$B$7:$B$506,A35)</x:f>
        <x:v>0</x:v>
      </x:c>
      <x:c r="C35" s="61" t="n">
        <x:f>SUMIF('TRANSACTION REGISTER'!$B$7:$B$506,A35,'TRANSACTION REGISTER'!$L$7:$L$506)</x:f>
        <x:v>0</x:v>
      </x:c>
      <x:c r="D35" s="29" t="n">
        <x:f>COUNTIFS('TRANSACTION REGISTER'!$B$7:$B$506,A35,'TRANSACTION REGISTER'!$N$7:$N$506,"&lt;&gt;Completed",'TRANSACTION REGISTER'!$N$7:$N$506,"&lt;&gt;Cancelled",'TRANSACTION REGISTER'!$E$7:$E$506,"?*")</x:f>
        <x:v>0</x:v>
      </x:c>
    </x:row>
  </x:sheetData>
  <x:mergeCells>
    <x:mergeCell ref="A1:L1"/>
    <x:mergeCell ref="A2:X2"/>
  </x:mergeCells>
  <x:pageMargins left="0.7" right="0.7" top="0.75" bottom="0.75" header="0.3" footer="0.3"/>
  <x:drawing xmlns:r="http://schemas.openxmlformats.org/officeDocument/2006/relationships" r:id="Rbf035b483d894e2c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22" hidden="0" customWidth="1"/>
    <x:col min="4" max="4" width="24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8" customHeight="1">
      <x:c r="A1" s="3" t="str">
        <x:v>BizKick EDCS — Controlled Lists</x:v>
      </x:c>
      <x:c r="B1" s="3" t="str">
        <x:v>BizKick EDCS — Controlled Lists</x:v>
      </x:c>
      <x:c r="C1" s="3" t="str">
        <x:v>BizKick EDCS — Controlled Lists</x:v>
      </x:c>
      <x:c r="D1" s="3" t="str">
        <x:v>BizKick EDCS — Controlled Lists</x:v>
      </x:c>
      <x:c r="E1" s="3" t="str">
        <x:v>BizKick EDCS — Controlled Lists</x:v>
      </x:c>
      <x:c r="F1" s="3" t="str">
        <x:v>BizKick EDCS — Controlled Lists</x:v>
      </x:c>
      <x:c r="G1" s="3" t="str">
        <x:v>BizKick EDCS — Controlled Lists</x:v>
      </x:c>
      <x:c r="H1" s="3" t="str">
        <x:v>BizKick EDCS — Controlled Lists</x:v>
      </x:c>
    </x:row>
    <x:row r="2" ht="25" customHeight="1">
      <x:c r="A2" s="5" t="str">
        <x:v>Edit only under authorised change control. These values drive register dropdowns.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4">
      <x:c r="A4" s="10" t="str">
        <x:v>Code</x:v>
      </x:c>
      <x:c r="B4" s="10" t="str">
        <x:v>Document Type</x:v>
      </x:c>
      <x:c r="C4" s="10" t="str">
        <x:v>Module</x:v>
      </x:c>
      <x:c r="D4" s="10" t="str">
        <x:v>Typical Counterparty</x:v>
      </x:c>
      <x:c r="F4" s="10" t="str">
        <x:v>Status</x:v>
      </x:c>
      <x:c r="G4" s="10" t="str">
        <x:v>Counterparty Type</x:v>
      </x:c>
      <x:c r="H4" s="10" t="str">
        <x:v>Currency</x:v>
      </x:c>
    </x:row>
    <x:row r="5">
      <x:c r="A5" s="21" t="str">
        <x:v>QT</x:v>
      </x:c>
      <x:c r="B5" s="22" t="str">
        <x:v>Quotation</x:v>
      </x:c>
      <x:c r="C5" s="22" t="str">
        <x:v>Sales</x:v>
      </x:c>
      <x:c r="D5" s="23" t="str">
        <x:v>Customer</x:v>
      </x:c>
      <x:c r="F5" s="21" t="str">
        <x:v>Reserved</x:v>
      </x:c>
      <x:c r="G5" s="22" t="str">
        <x:v>Customer</x:v>
      </x:c>
      <x:c r="H5" s="23" t="str">
        <x:v>MYR</x:v>
      </x:c>
    </x:row>
    <x:row r="6">
      <x:c r="A6" s="24" t="str">
        <x:v>SO</x:v>
      </x:c>
      <x:c r="B6" s="25" t="str">
        <x:v>Sales Order</x:v>
      </x:c>
      <x:c r="C6" s="25" t="str">
        <x:v>Sales</x:v>
      </x:c>
      <x:c r="D6" s="26" t="str">
        <x:v>Customer</x:v>
      </x:c>
      <x:c r="F6" s="24" t="str">
        <x:v>Draft</x:v>
      </x:c>
      <x:c r="G6" s="25" t="str">
        <x:v>Supplier</x:v>
      </x:c>
      <x:c r="H6" s="26" t="str">
        <x:v>USD</x:v>
      </x:c>
    </x:row>
    <x:row r="7">
      <x:c r="A7" s="24" t="str">
        <x:v>DO</x:v>
      </x:c>
      <x:c r="B7" s="25" t="str">
        <x:v>Delivery Order</x:v>
      </x:c>
      <x:c r="C7" s="25" t="str">
        <x:v>Sales</x:v>
      </x:c>
      <x:c r="D7" s="26" t="str">
        <x:v>Customer</x:v>
      </x:c>
      <x:c r="F7" s="24" t="str">
        <x:v>Under Review</x:v>
      </x:c>
      <x:c r="G7" s="25" t="str">
        <x:v>Employee</x:v>
      </x:c>
      <x:c r="H7" s="26" t="str">
        <x:v>SGD</x:v>
      </x:c>
    </x:row>
    <x:row r="8">
      <x:c r="A8" s="24" t="str">
        <x:v>INV</x:v>
      </x:c>
      <x:c r="B8" s="25" t="str">
        <x:v>Invoice</x:v>
      </x:c>
      <x:c r="C8" s="25" t="str">
        <x:v>Sales / Finance</x:v>
      </x:c>
      <x:c r="D8" s="26" t="str">
        <x:v>Customer</x:v>
      </x:c>
      <x:c r="F8" s="24" t="str">
        <x:v>Approved</x:v>
      </x:c>
      <x:c r="G8" s="25" t="str">
        <x:v>Bank</x:v>
      </x:c>
      <x:c r="H8" s="26" t="str">
        <x:v>EUR</x:v>
      </x:c>
    </x:row>
    <x:row r="9">
      <x:c r="A9" s="24" t="str">
        <x:v>RC</x:v>
      </x:c>
      <x:c r="B9" s="25" t="str">
        <x:v>Receipt</x:v>
      </x:c>
      <x:c r="C9" s="25" t="str">
        <x:v>Sales / Finance</x:v>
      </x:c>
      <x:c r="D9" s="26" t="str">
        <x:v>Customer</x:v>
      </x:c>
      <x:c r="F9" s="24" t="str">
        <x:v>Issued</x:v>
      </x:c>
      <x:c r="G9" s="25" t="str">
        <x:v>Government</x:v>
      </x:c>
      <x:c r="H9" s="26" t="str">
        <x:v>GBP</x:v>
      </x:c>
    </x:row>
    <x:row r="10">
      <x:c r="A10" s="24" t="str">
        <x:v>CN</x:v>
      </x:c>
      <x:c r="B10" s="25" t="str">
        <x:v>Credit Note</x:v>
      </x:c>
      <x:c r="C10" s="25" t="str">
        <x:v>Sales / Finance</x:v>
      </x:c>
      <x:c r="D10" s="26" t="str">
        <x:v>Customer</x:v>
      </x:c>
      <x:c r="F10" s="24" t="str">
        <x:v>Accepted</x:v>
      </x:c>
      <x:c r="G10" s="25" t="str">
        <x:v>Internal</x:v>
      </x:c>
      <x:c r="H10" s="26" t="str">
        <x:v>AUD</x:v>
      </x:c>
    </x:row>
    <x:row r="11">
      <x:c r="A11" s="24" t="str">
        <x:v>CMP</x:v>
      </x:c>
      <x:c r="B11" s="25" t="str">
        <x:v>Customer Complaint</x:v>
      </x:c>
      <x:c r="C11" s="25" t="str">
        <x:v>Sales</x:v>
      </x:c>
      <x:c r="D11" s="26" t="str">
        <x:v>Customer</x:v>
      </x:c>
      <x:c r="F11" s="24" t="str">
        <x:v>Rejected</x:v>
      </x:c>
      <x:c r="G11" s="25" t="str">
        <x:v>External Party</x:v>
      </x:c>
      <x:c r="H11" s="26" t="str">
        <x:v>JPY</x:v>
      </x:c>
    </x:row>
    <x:row r="12">
      <x:c r="A12" s="24" t="str">
        <x:v>PR</x:v>
      </x:c>
      <x:c r="B12" s="25" t="str">
        <x:v>Purchase Requisition</x:v>
      </x:c>
      <x:c r="C12" s="25" t="str">
        <x:v>Procurement</x:v>
      </x:c>
      <x:c r="D12" s="26" t="str">
        <x:v>Internal</x:v>
      </x:c>
      <x:c r="F12" s="24" t="str">
        <x:v>Expired</x:v>
      </x:c>
      <x:c r="G12" s="25" t="str">
        <x:v>Other</x:v>
      </x:c>
      <x:c r="H12" s="26" t="str">
        <x:v>CNY</x:v>
      </x:c>
    </x:row>
    <x:row r="13">
      <x:c r="A13" s="24" t="str">
        <x:v>RFQ</x:v>
      </x:c>
      <x:c r="B13" s="25" t="str">
        <x:v>Request for Quotation</x:v>
      </x:c>
      <x:c r="C13" s="25" t="str">
        <x:v>Procurement</x:v>
      </x:c>
      <x:c r="D13" s="26" t="str">
        <x:v>Supplier</x:v>
      </x:c>
      <x:c r="F13" s="24" t="str">
        <x:v>Completed</x:v>
      </x:c>
      <x:c r="G13" s="25"/>
      <x:c r="H13" s="26" t="str">
        <x:v>Other</x:v>
      </x:c>
    </x:row>
    <x:row r="14">
      <x:c r="A14" s="24" t="str">
        <x:v>QC</x:v>
      </x:c>
      <x:c r="B14" s="25" t="str">
        <x:v>Quotation Comparison</x:v>
      </x:c>
      <x:c r="C14" s="25" t="str">
        <x:v>Procurement</x:v>
      </x:c>
      <x:c r="D14" s="26" t="str">
        <x:v>Supplier</x:v>
      </x:c>
      <x:c r="F14" s="24" t="str">
        <x:v>Cancelled</x:v>
      </x:c>
      <x:c r="G14" s="25"/>
      <x:c r="H14" s="26"/>
    </x:row>
    <x:row r="15">
      <x:c r="A15" s="24" t="str">
        <x:v>PO</x:v>
      </x:c>
      <x:c r="B15" s="25" t="str">
        <x:v>Purchase Order</x:v>
      </x:c>
      <x:c r="C15" s="25" t="str">
        <x:v>Procurement</x:v>
      </x:c>
      <x:c r="D15" s="26" t="str">
        <x:v>Supplier</x:v>
      </x:c>
      <x:c r="F15" s="24" t="str">
        <x:v>Superseded</x:v>
      </x:c>
      <x:c r="G15" s="25"/>
      <x:c r="H15" s="26"/>
    </x:row>
    <x:row r="16">
      <x:c r="A16" s="24" t="str">
        <x:v>GRN</x:v>
      </x:c>
      <x:c r="B16" s="25" t="str">
        <x:v>Goods Received Note</x:v>
      </x:c>
      <x:c r="C16" s="25" t="str">
        <x:v>Procurement / Inventory</x:v>
      </x:c>
      <x:c r="D16" s="26" t="str">
        <x:v>Supplier</x:v>
      </x:c>
      <x:c r="F16" s="24" t="str">
        <x:v>On Hold</x:v>
      </x:c>
      <x:c r="G16" s="25"/>
      <x:c r="H16" s="26"/>
    </x:row>
    <x:row r="17">
      <x:c r="A17" s="24" t="str">
        <x:v>SE</x:v>
      </x:c>
      <x:c r="B17" s="25" t="str">
        <x:v>Supplier Evaluation</x:v>
      </x:c>
      <x:c r="C17" s="25" t="str">
        <x:v>Procurement</x:v>
      </x:c>
      <x:c r="D17" s="26" t="str">
        <x:v>Supplier</x:v>
      </x:c>
      <x:c r="F17" s="24"/>
      <x:c r="G17" s="25"/>
      <x:c r="H17" s="26"/>
    </x:row>
    <x:row r="18">
      <x:c r="A18" s="24" t="str">
        <x:v>PV</x:v>
      </x:c>
      <x:c r="B18" s="25" t="str">
        <x:v>Payment Voucher</x:v>
      </x:c>
      <x:c r="C18" s="25" t="str">
        <x:v>Finance</x:v>
      </x:c>
      <x:c r="D18" s="26" t="str">
        <x:v>Supplier / Employee</x:v>
      </x:c>
      <x:c r="F18" s="24"/>
      <x:c r="G18" s="25"/>
      <x:c r="H18" s="26"/>
    </x:row>
    <x:row r="19">
      <x:c r="A19" s="24" t="str">
        <x:v>EC</x:v>
      </x:c>
      <x:c r="B19" s="25" t="str">
        <x:v>Expense Claim</x:v>
      </x:c>
      <x:c r="C19" s="25" t="str">
        <x:v>Finance</x:v>
      </x:c>
      <x:c r="D19" s="26" t="str">
        <x:v>Employee</x:v>
      </x:c>
      <x:c r="F19" s="24"/>
      <x:c r="G19" s="25"/>
      <x:c r="H19" s="26"/>
    </x:row>
    <x:row r="20">
      <x:c r="A20" s="24" t="str">
        <x:v>PCV</x:v>
      </x:c>
      <x:c r="B20" s="25" t="str">
        <x:v>Petty Cash Voucher</x:v>
      </x:c>
      <x:c r="C20" s="25" t="str">
        <x:v>Finance</x:v>
      </x:c>
      <x:c r="D20" s="26" t="str">
        <x:v>Employee / Supplier</x:v>
      </x:c>
      <x:c r="F20" s="27"/>
      <x:c r="G20" s="28"/>
      <x:c r="H20" s="29"/>
    </x:row>
    <x:row r="21">
      <x:c r="A21" s="24" t="str">
        <x:v>BR</x:v>
      </x:c>
      <x:c r="B21" s="25" t="str">
        <x:v>Bank Reconciliation</x:v>
      </x:c>
      <x:c r="C21" s="25" t="str">
        <x:v>Finance</x:v>
      </x:c>
      <x:c r="D21" s="26" t="str">
        <x:v>Bank</x:v>
      </x:c>
    </x:row>
    <x:row r="22">
      <x:c r="A22" s="24" t="str">
        <x:v>JV</x:v>
      </x:c>
      <x:c r="B22" s="25" t="str">
        <x:v>Journal Voucher</x:v>
      </x:c>
      <x:c r="C22" s="25" t="str">
        <x:v>Finance</x:v>
      </x:c>
      <x:c r="D22" s="26" t="str">
        <x:v>Internal</x:v>
      </x:c>
    </x:row>
    <x:row r="23">
      <x:c r="A23" s="24" t="str">
        <x:v>EMP</x:v>
      </x:c>
      <x:c r="B23" s="25" t="str">
        <x:v>Employee Record</x:v>
      </x:c>
      <x:c r="C23" s="25" t="str">
        <x:v>HR</x:v>
      </x:c>
      <x:c r="D23" s="26" t="str">
        <x:v>Employee</x:v>
      </x:c>
    </x:row>
    <x:row r="24">
      <x:c r="A24" s="24" t="str">
        <x:v>LV</x:v>
      </x:c>
      <x:c r="B24" s="25" t="str">
        <x:v>Leave Application</x:v>
      </x:c>
      <x:c r="C24" s="25" t="str">
        <x:v>HR</x:v>
      </x:c>
      <x:c r="D24" s="26" t="str">
        <x:v>Employee</x:v>
      </x:c>
    </x:row>
    <x:row r="25">
      <x:c r="A25" s="24" t="str">
        <x:v>TS</x:v>
      </x:c>
      <x:c r="B25" s="25" t="str">
        <x:v>Timesheet</x:v>
      </x:c>
      <x:c r="C25" s="25" t="str">
        <x:v>HR</x:v>
      </x:c>
      <x:c r="D25" s="26" t="str">
        <x:v>Employee</x:v>
      </x:c>
    </x:row>
    <x:row r="26">
      <x:c r="A26" s="24" t="str">
        <x:v>OT</x:v>
      </x:c>
      <x:c r="B26" s="25" t="str">
        <x:v>Overtime Request</x:v>
      </x:c>
      <x:c r="C26" s="25" t="str">
        <x:v>HR</x:v>
      </x:c>
      <x:c r="D26" s="26" t="str">
        <x:v>Employee</x:v>
      </x:c>
    </x:row>
    <x:row r="27">
      <x:c r="A27" s="24" t="str">
        <x:v>EXIT</x:v>
      </x:c>
      <x:c r="B27" s="25" t="str">
        <x:v>Exit Checklist</x:v>
      </x:c>
      <x:c r="C27" s="25" t="str">
        <x:v>HR</x:v>
      </x:c>
      <x:c r="D27" s="26" t="str">
        <x:v>Employee</x:v>
      </x:c>
    </x:row>
    <x:row r="28">
      <x:c r="A28" s="24" t="str">
        <x:v>SI</x:v>
      </x:c>
      <x:c r="B28" s="25" t="str">
        <x:v>Stock Issue</x:v>
      </x:c>
      <x:c r="C28" s="25" t="str">
        <x:v>Inventory</x:v>
      </x:c>
      <x:c r="D28" s="26" t="str">
        <x:v>Internal</x:v>
      </x:c>
    </x:row>
    <x:row r="29">
      <x:c r="A29" s="24" t="str">
        <x:v>ST</x:v>
      </x:c>
      <x:c r="B29" s="25" t="str">
        <x:v>Stock Transfer</x:v>
      </x:c>
      <x:c r="C29" s="25" t="str">
        <x:v>Inventory</x:v>
      </x:c>
      <x:c r="D29" s="26" t="str">
        <x:v>Internal</x:v>
      </x:c>
    </x:row>
    <x:row r="30">
      <x:c r="A30" s="24" t="str">
        <x:v>SA</x:v>
      </x:c>
      <x:c r="B30" s="25" t="str">
        <x:v>Stock Adjustment</x:v>
      </x:c>
      <x:c r="C30" s="25" t="str">
        <x:v>Inventory</x:v>
      </x:c>
      <x:c r="D30" s="26" t="str">
        <x:v>Internal</x:v>
      </x:c>
    </x:row>
    <x:row r="31">
      <x:c r="A31" s="24" t="str">
        <x:v>SCV</x:v>
      </x:c>
      <x:c r="B31" s="25" t="str">
        <x:v>Stock Count Variance</x:v>
      </x:c>
      <x:c r="C31" s="25" t="str">
        <x:v>Inventory</x:v>
      </x:c>
      <x:c r="D31" s="26" t="str">
        <x:v>Internal</x:v>
      </x:c>
    </x:row>
    <x:row r="32">
      <x:c r="A32" s="24" t="str">
        <x:v>NDA</x:v>
      </x:c>
      <x:c r="B32" s="25" t="str">
        <x:v>Non-Disclosure Agreement</x:v>
      </x:c>
      <x:c r="C32" s="25" t="str">
        <x:v>Legal</x:v>
      </x:c>
      <x:c r="D32" s="26" t="str">
        <x:v>External Party</x:v>
      </x:c>
    </x:row>
    <x:row r="33">
      <x:c r="A33" s="24" t="str">
        <x:v>AGR</x:v>
      </x:c>
      <x:c r="B33" s="25" t="str">
        <x:v>Service Agreement</x:v>
      </x:c>
      <x:c r="C33" s="25" t="str">
        <x:v>Legal</x:v>
      </x:c>
      <x:c r="D33" s="26" t="str">
        <x:v>Customer / Supplier</x:v>
      </x:c>
    </x:row>
    <x:row r="34">
      <x:c r="A34" s="24" t="str">
        <x:v>MIN</x:v>
      </x:c>
      <x:c r="B34" s="25" t="str">
        <x:v>Meeting Minutes</x:v>
      </x:c>
      <x:c r="C34" s="25" t="str">
        <x:v>Management</x:v>
      </x:c>
      <x:c r="D34" s="26" t="str">
        <x:v>Internal</x:v>
      </x:c>
    </x:row>
    <x:row r="35">
      <x:c r="A35" s="24" t="str">
        <x:v>DEC</x:v>
      </x:c>
      <x:c r="B35" s="25" t="str">
        <x:v>Decision Record</x:v>
      </x:c>
      <x:c r="C35" s="25" t="str">
        <x:v>Management</x:v>
      </x:c>
      <x:c r="D35" s="26" t="str">
        <x:v>Internal</x:v>
      </x:c>
    </x:row>
    <x:row r="36">
      <x:c r="A36" s="27" t="str">
        <x:v>INC</x:v>
      </x:c>
      <x:c r="B36" s="28" t="str">
        <x:v>Incident Report</x:v>
      </x:c>
      <x:c r="C36" s="28" t="str">
        <x:v>Management</x:v>
      </x:c>
      <x:c r="D36" s="29" t="str">
        <x:v>Internal</x:v>
      </x:c>
    </x:row>
  </x:sheetData>
  <x:mergeCells>
    <x:mergeCell ref="A1:H1"/>
    <x:mergeCell ref="A2:X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40" hidden="0" customWidth="1"/>
    <x:col min="5" max="5" width="28" hidden="0" customWidth="1"/>
    <x:col min="6" max="6" width="18" hidden="0" customWidth="1"/>
    <x:col min="7" max="7" width="18" hidden="0" customWidth="1"/>
    <x:col min="8" max="8" width="35" hidden="0" customWidth="1"/>
  </x:cols>
  <x:sheetData>
    <x:row r="1" ht="38" customHeight="1">
      <x:c r="A1" s="3" t="str">
        <x:v>BizKick EDCS — Register Control Log</x:v>
      </x:c>
      <x:c r="B1" s="3" t="str">
        <x:v>BizKick EDCS — Register Control Log</x:v>
      </x:c>
      <x:c r="C1" s="3" t="str">
        <x:v>BizKick EDCS — Register Control Log</x:v>
      </x:c>
      <x:c r="D1" s="3" t="str">
        <x:v>BizKick EDCS — Register Control Log</x:v>
      </x:c>
      <x:c r="E1" s="3" t="str">
        <x:v>BizKick EDCS — Register Control Log</x:v>
      </x:c>
      <x:c r="F1" s="3" t="str">
        <x:v>BizKick EDCS — Register Control Log</x:v>
      </x:c>
      <x:c r="G1" s="3" t="str">
        <x:v>BizKick EDCS — Register Control Log</x:v>
      </x:c>
      <x:c r="H1" s="3" t="str">
        <x:v>BizKick EDCS — Register Control Log</x:v>
      </x:c>
    </x:row>
    <x:row r="2" ht="25" customHeight="1">
      <x:c r="A2" s="5" t="str">
        <x:v>Record authorised structural changes, corrections and periodic controller reviews.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4">
      <x:c r="A4" s="10" t="str">
        <x:v>Log ID</x:v>
      </x:c>
      <x:c r="B4" s="10" t="str">
        <x:v>Date</x:v>
      </x:c>
      <x:c r="C4" s="10" t="str">
        <x:v>Type</x:v>
      </x:c>
      <x:c r="D4" s="10" t="str">
        <x:v>Description</x:v>
      </x:c>
      <x:c r="E4" s="10" t="str">
        <x:v>Affected Range / IDs</x:v>
      </x:c>
      <x:c r="F4" s="10" t="str">
        <x:v>Raised By</x:v>
      </x:c>
      <x:c r="G4" s="10" t="str">
        <x:v>Approved By</x:v>
      </x:c>
      <x:c r="H4" s="10" t="str">
        <x:v>Closure / Evidence</x:v>
      </x:c>
    </x:row>
    <x:row r="5">
      <x:c r="A5" s="64"/>
      <x:c r="B5" s="66"/>
      <x:c r="C5" s="64"/>
      <x:c r="D5" s="64"/>
      <x:c r="E5" s="64"/>
      <x:c r="F5" s="64"/>
      <x:c r="G5" s="64"/>
      <x:c r="H5" s="64"/>
    </x:row>
    <x:row r="6">
      <x:c r="A6" s="64"/>
      <x:c r="B6" s="66"/>
      <x:c r="C6" s="64"/>
      <x:c r="D6" s="64"/>
      <x:c r="E6" s="64"/>
      <x:c r="F6" s="64"/>
      <x:c r="G6" s="64"/>
      <x:c r="H6" s="64"/>
    </x:row>
    <x:row r="7">
      <x:c r="A7" s="64"/>
      <x:c r="B7" s="66"/>
      <x:c r="C7" s="64"/>
      <x:c r="D7" s="64"/>
      <x:c r="E7" s="64"/>
      <x:c r="F7" s="64"/>
      <x:c r="G7" s="64"/>
      <x:c r="H7" s="64"/>
    </x:row>
    <x:row r="8">
      <x:c r="A8" s="64"/>
      <x:c r="B8" s="66"/>
      <x:c r="C8" s="64"/>
      <x:c r="D8" s="64"/>
      <x:c r="E8" s="64"/>
      <x:c r="F8" s="64"/>
      <x:c r="G8" s="64"/>
      <x:c r="H8" s="64"/>
    </x:row>
    <x:row r="9">
      <x:c r="A9" s="64"/>
      <x:c r="B9" s="66"/>
      <x:c r="C9" s="64"/>
      <x:c r="D9" s="64"/>
      <x:c r="E9" s="64"/>
      <x:c r="F9" s="64"/>
      <x:c r="G9" s="64"/>
      <x:c r="H9" s="64"/>
    </x:row>
    <x:row r="10">
      <x:c r="A10" s="64"/>
      <x:c r="B10" s="66"/>
      <x:c r="C10" s="64"/>
      <x:c r="D10" s="64"/>
      <x:c r="E10" s="64"/>
      <x:c r="F10" s="64"/>
      <x:c r="G10" s="64"/>
      <x:c r="H10" s="64"/>
    </x:row>
    <x:row r="11">
      <x:c r="A11" s="64"/>
      <x:c r="B11" s="66"/>
      <x:c r="C11" s="64"/>
      <x:c r="D11" s="64"/>
      <x:c r="E11" s="64"/>
      <x:c r="F11" s="64"/>
      <x:c r="G11" s="64"/>
      <x:c r="H11" s="64"/>
    </x:row>
    <x:row r="12">
      <x:c r="A12" s="64"/>
      <x:c r="B12" s="66"/>
      <x:c r="C12" s="64"/>
      <x:c r="D12" s="64"/>
      <x:c r="E12" s="64"/>
      <x:c r="F12" s="64"/>
      <x:c r="G12" s="64"/>
      <x:c r="H12" s="64"/>
    </x:row>
    <x:row r="13">
      <x:c r="A13" s="64"/>
      <x:c r="B13" s="66"/>
      <x:c r="C13" s="64"/>
      <x:c r="D13" s="64"/>
      <x:c r="E13" s="64"/>
      <x:c r="F13" s="64"/>
      <x:c r="G13" s="64"/>
      <x:c r="H13" s="64"/>
    </x:row>
    <x:row r="14">
      <x:c r="A14" s="64"/>
      <x:c r="B14" s="66"/>
      <x:c r="C14" s="64"/>
      <x:c r="D14" s="64"/>
      <x:c r="E14" s="64"/>
      <x:c r="F14" s="64"/>
      <x:c r="G14" s="64"/>
      <x:c r="H14" s="64"/>
    </x:row>
    <x:row r="15">
      <x:c r="A15" s="64"/>
      <x:c r="B15" s="66"/>
      <x:c r="C15" s="64"/>
      <x:c r="D15" s="64"/>
      <x:c r="E15" s="64"/>
      <x:c r="F15" s="64"/>
      <x:c r="G15" s="64"/>
      <x:c r="H15" s="64"/>
    </x:row>
    <x:row r="16">
      <x:c r="A16" s="64"/>
      <x:c r="B16" s="66"/>
      <x:c r="C16" s="64"/>
      <x:c r="D16" s="64"/>
      <x:c r="E16" s="64"/>
      <x:c r="F16" s="64"/>
      <x:c r="G16" s="64"/>
      <x:c r="H16" s="64"/>
    </x:row>
    <x:row r="17">
      <x:c r="A17" s="64"/>
      <x:c r="B17" s="66"/>
      <x:c r="C17" s="64"/>
      <x:c r="D17" s="64"/>
      <x:c r="E17" s="64"/>
      <x:c r="F17" s="64"/>
      <x:c r="G17" s="64"/>
      <x:c r="H17" s="64"/>
    </x:row>
    <x:row r="18">
      <x:c r="A18" s="64"/>
      <x:c r="B18" s="66"/>
      <x:c r="C18" s="64"/>
      <x:c r="D18" s="64"/>
      <x:c r="E18" s="64"/>
      <x:c r="F18" s="64"/>
      <x:c r="G18" s="64"/>
      <x:c r="H18" s="64"/>
    </x:row>
    <x:row r="19">
      <x:c r="A19" s="64"/>
      <x:c r="B19" s="66"/>
      <x:c r="C19" s="64"/>
      <x:c r="D19" s="64"/>
      <x:c r="E19" s="64"/>
      <x:c r="F19" s="64"/>
      <x:c r="G19" s="64"/>
      <x:c r="H19" s="64"/>
    </x:row>
    <x:row r="20">
      <x:c r="A20" s="64"/>
      <x:c r="B20" s="66"/>
      <x:c r="C20" s="64"/>
      <x:c r="D20" s="64"/>
      <x:c r="E20" s="64"/>
      <x:c r="F20" s="64"/>
      <x:c r="G20" s="64"/>
      <x:c r="H20" s="64"/>
    </x:row>
    <x:row r="21">
      <x:c r="A21" s="64"/>
      <x:c r="B21" s="66"/>
      <x:c r="C21" s="64"/>
      <x:c r="D21" s="64"/>
      <x:c r="E21" s="64"/>
      <x:c r="F21" s="64"/>
      <x:c r="G21" s="64"/>
      <x:c r="H21" s="64"/>
    </x:row>
    <x:row r="22">
      <x:c r="A22" s="64"/>
      <x:c r="B22" s="66"/>
      <x:c r="C22" s="64"/>
      <x:c r="D22" s="64"/>
      <x:c r="E22" s="64"/>
      <x:c r="F22" s="64"/>
      <x:c r="G22" s="64"/>
      <x:c r="H22" s="64"/>
    </x:row>
    <x:row r="23">
      <x:c r="A23" s="64"/>
      <x:c r="B23" s="66"/>
      <x:c r="C23" s="64"/>
      <x:c r="D23" s="64"/>
      <x:c r="E23" s="64"/>
      <x:c r="F23" s="64"/>
      <x:c r="G23" s="64"/>
      <x:c r="H23" s="64"/>
    </x:row>
    <x:row r="24">
      <x:c r="A24" s="64"/>
      <x:c r="B24" s="66"/>
      <x:c r="C24" s="64"/>
      <x:c r="D24" s="64"/>
      <x:c r="E24" s="64"/>
      <x:c r="F24" s="64"/>
      <x:c r="G24" s="64"/>
      <x:c r="H24" s="64"/>
    </x:row>
    <x:row r="25">
      <x:c r="A25" s="64"/>
      <x:c r="B25" s="66"/>
      <x:c r="C25" s="64"/>
      <x:c r="D25" s="64"/>
      <x:c r="E25" s="64"/>
      <x:c r="F25" s="64"/>
      <x:c r="G25" s="64"/>
      <x:c r="H25" s="64"/>
    </x:row>
    <x:row r="26">
      <x:c r="A26" s="64"/>
      <x:c r="B26" s="66"/>
      <x:c r="C26" s="64"/>
      <x:c r="D26" s="64"/>
      <x:c r="E26" s="64"/>
      <x:c r="F26" s="64"/>
      <x:c r="G26" s="64"/>
      <x:c r="H26" s="64"/>
    </x:row>
    <x:row r="27">
      <x:c r="A27" s="64"/>
      <x:c r="B27" s="66"/>
      <x:c r="C27" s="64"/>
      <x:c r="D27" s="64"/>
      <x:c r="E27" s="64"/>
      <x:c r="F27" s="64"/>
      <x:c r="G27" s="64"/>
      <x:c r="H27" s="64"/>
    </x:row>
    <x:row r="28">
      <x:c r="A28" s="64"/>
      <x:c r="B28" s="66"/>
      <x:c r="C28" s="64"/>
      <x:c r="D28" s="64"/>
      <x:c r="E28" s="64"/>
      <x:c r="F28" s="64"/>
      <x:c r="G28" s="64"/>
      <x:c r="H28" s="64"/>
    </x:row>
    <x:row r="29">
      <x:c r="A29" s="64"/>
      <x:c r="B29" s="66"/>
      <x:c r="C29" s="64"/>
      <x:c r="D29" s="64"/>
      <x:c r="E29" s="64"/>
      <x:c r="F29" s="64"/>
      <x:c r="G29" s="64"/>
      <x:c r="H29" s="64"/>
    </x:row>
    <x:row r="30">
      <x:c r="A30" s="64"/>
      <x:c r="B30" s="66"/>
      <x:c r="C30" s="64"/>
      <x:c r="D30" s="64"/>
      <x:c r="E30" s="64"/>
      <x:c r="F30" s="64"/>
      <x:c r="G30" s="64"/>
      <x:c r="H30" s="64"/>
    </x:row>
    <x:row r="31">
      <x:c r="A31" s="64"/>
      <x:c r="B31" s="66"/>
      <x:c r="C31" s="64"/>
      <x:c r="D31" s="64"/>
      <x:c r="E31" s="64"/>
      <x:c r="F31" s="64"/>
      <x:c r="G31" s="64"/>
      <x:c r="H31" s="64"/>
    </x:row>
    <x:row r="32">
      <x:c r="A32" s="64"/>
      <x:c r="B32" s="66"/>
      <x:c r="C32" s="64"/>
      <x:c r="D32" s="64"/>
      <x:c r="E32" s="64"/>
      <x:c r="F32" s="64"/>
      <x:c r="G32" s="64"/>
      <x:c r="H32" s="64"/>
    </x:row>
    <x:row r="33">
      <x:c r="A33" s="64"/>
      <x:c r="B33" s="66"/>
      <x:c r="C33" s="64"/>
      <x:c r="D33" s="64"/>
      <x:c r="E33" s="64"/>
      <x:c r="F33" s="64"/>
      <x:c r="G33" s="64"/>
      <x:c r="H33" s="64"/>
    </x:row>
    <x:row r="34">
      <x:c r="A34" s="64"/>
      <x:c r="B34" s="66"/>
      <x:c r="C34" s="64"/>
      <x:c r="D34" s="64"/>
      <x:c r="E34" s="64"/>
      <x:c r="F34" s="64"/>
      <x:c r="G34" s="64"/>
      <x:c r="H34" s="64"/>
    </x:row>
    <x:row r="35">
      <x:c r="A35" s="64"/>
      <x:c r="B35" s="66"/>
      <x:c r="C35" s="64"/>
      <x:c r="D35" s="64"/>
      <x:c r="E35" s="64"/>
      <x:c r="F35" s="64"/>
      <x:c r="G35" s="64"/>
      <x:c r="H35" s="64"/>
    </x:row>
    <x:row r="36">
      <x:c r="A36" s="64"/>
      <x:c r="B36" s="66"/>
      <x:c r="C36" s="64"/>
      <x:c r="D36" s="64"/>
      <x:c r="E36" s="64"/>
      <x:c r="F36" s="64"/>
      <x:c r="G36" s="64"/>
      <x:c r="H36" s="64"/>
    </x:row>
    <x:row r="37">
      <x:c r="A37" s="64"/>
      <x:c r="B37" s="66"/>
      <x:c r="C37" s="64"/>
      <x:c r="D37" s="64"/>
      <x:c r="E37" s="64"/>
      <x:c r="F37" s="64"/>
      <x:c r="G37" s="64"/>
      <x:c r="H37" s="64"/>
    </x:row>
    <x:row r="38">
      <x:c r="A38" s="64"/>
      <x:c r="B38" s="66"/>
      <x:c r="C38" s="64"/>
      <x:c r="D38" s="64"/>
      <x:c r="E38" s="64"/>
      <x:c r="F38" s="64"/>
      <x:c r="G38" s="64"/>
      <x:c r="H38" s="64"/>
    </x:row>
    <x:row r="39">
      <x:c r="A39" s="64"/>
      <x:c r="B39" s="66"/>
      <x:c r="C39" s="64"/>
      <x:c r="D39" s="64"/>
      <x:c r="E39" s="64"/>
      <x:c r="F39" s="64"/>
      <x:c r="G39" s="64"/>
      <x:c r="H39" s="64"/>
    </x:row>
    <x:row r="40">
      <x:c r="A40" s="64"/>
      <x:c r="B40" s="66"/>
      <x:c r="C40" s="64"/>
      <x:c r="D40" s="64"/>
      <x:c r="E40" s="64"/>
      <x:c r="F40" s="64"/>
      <x:c r="G40" s="64"/>
      <x:c r="H40" s="64"/>
    </x:row>
    <x:row r="41">
      <x:c r="A41" s="64"/>
      <x:c r="B41" s="66"/>
      <x:c r="C41" s="64"/>
      <x:c r="D41" s="64"/>
      <x:c r="E41" s="64"/>
      <x:c r="F41" s="64"/>
      <x:c r="G41" s="64"/>
      <x:c r="H41" s="64"/>
    </x:row>
    <x:row r="42">
      <x:c r="A42" s="64"/>
      <x:c r="B42" s="66"/>
      <x:c r="C42" s="64"/>
      <x:c r="D42" s="64"/>
      <x:c r="E42" s="64"/>
      <x:c r="F42" s="64"/>
      <x:c r="G42" s="64"/>
      <x:c r="H42" s="64"/>
    </x:row>
    <x:row r="43">
      <x:c r="A43" s="64"/>
      <x:c r="B43" s="66"/>
      <x:c r="C43" s="64"/>
      <x:c r="D43" s="64"/>
      <x:c r="E43" s="64"/>
      <x:c r="F43" s="64"/>
      <x:c r="G43" s="64"/>
      <x:c r="H43" s="64"/>
    </x:row>
    <x:row r="44">
      <x:c r="A44" s="64"/>
      <x:c r="B44" s="66"/>
      <x:c r="C44" s="64"/>
      <x:c r="D44" s="64"/>
      <x:c r="E44" s="64"/>
      <x:c r="F44" s="64"/>
      <x:c r="G44" s="64"/>
      <x:c r="H44" s="64"/>
    </x:row>
    <x:row r="45">
      <x:c r="A45" s="64"/>
      <x:c r="B45" s="66"/>
      <x:c r="C45" s="64"/>
      <x:c r="D45" s="64"/>
      <x:c r="E45" s="64"/>
      <x:c r="F45" s="64"/>
      <x:c r="G45" s="64"/>
      <x:c r="H45" s="64"/>
    </x:row>
    <x:row r="46">
      <x:c r="A46" s="64"/>
      <x:c r="B46" s="66"/>
      <x:c r="C46" s="64"/>
      <x:c r="D46" s="64"/>
      <x:c r="E46" s="64"/>
      <x:c r="F46" s="64"/>
      <x:c r="G46" s="64"/>
      <x:c r="H46" s="64"/>
    </x:row>
    <x:row r="47">
      <x:c r="A47" s="64"/>
      <x:c r="B47" s="66"/>
      <x:c r="C47" s="64"/>
      <x:c r="D47" s="64"/>
      <x:c r="E47" s="64"/>
      <x:c r="F47" s="64"/>
      <x:c r="G47" s="64"/>
      <x:c r="H47" s="64"/>
    </x:row>
    <x:row r="48">
      <x:c r="A48" s="64"/>
      <x:c r="B48" s="66"/>
      <x:c r="C48" s="64"/>
      <x:c r="D48" s="64"/>
      <x:c r="E48" s="64"/>
      <x:c r="F48" s="64"/>
      <x:c r="G48" s="64"/>
      <x:c r="H48" s="64"/>
    </x:row>
    <x:row r="49">
      <x:c r="A49" s="64"/>
      <x:c r="B49" s="66"/>
      <x:c r="C49" s="64"/>
      <x:c r="D49" s="64"/>
      <x:c r="E49" s="64"/>
      <x:c r="F49" s="64"/>
      <x:c r="G49" s="64"/>
      <x:c r="H49" s="64"/>
    </x:row>
    <x:row r="50">
      <x:c r="A50" s="64"/>
      <x:c r="B50" s="66"/>
      <x:c r="C50" s="64"/>
      <x:c r="D50" s="64"/>
      <x:c r="E50" s="64"/>
      <x:c r="F50" s="64"/>
      <x:c r="G50" s="64"/>
      <x:c r="H50" s="64"/>
    </x:row>
    <x:row r="51">
      <x:c r="A51" s="64"/>
      <x:c r="B51" s="66"/>
      <x:c r="C51" s="64"/>
      <x:c r="D51" s="64"/>
      <x:c r="E51" s="64"/>
      <x:c r="F51" s="64"/>
      <x:c r="G51" s="64"/>
      <x:c r="H51" s="64"/>
    </x:row>
    <x:row r="52">
      <x:c r="A52" s="64"/>
      <x:c r="B52" s="66"/>
      <x:c r="C52" s="64"/>
      <x:c r="D52" s="64"/>
      <x:c r="E52" s="64"/>
      <x:c r="F52" s="64"/>
      <x:c r="G52" s="64"/>
      <x:c r="H52" s="64"/>
    </x:row>
    <x:row r="53">
      <x:c r="A53" s="64"/>
      <x:c r="B53" s="66"/>
      <x:c r="C53" s="64"/>
      <x:c r="D53" s="64"/>
      <x:c r="E53" s="64"/>
      <x:c r="F53" s="64"/>
      <x:c r="G53" s="64"/>
      <x:c r="H53" s="64"/>
    </x:row>
    <x:row r="54">
      <x:c r="A54" s="64"/>
      <x:c r="B54" s="66"/>
      <x:c r="C54" s="64"/>
      <x:c r="D54" s="64"/>
      <x:c r="E54" s="64"/>
      <x:c r="F54" s="64"/>
      <x:c r="G54" s="64"/>
      <x:c r="H54" s="64"/>
    </x:row>
    <x:row r="55">
      <x:c r="A55" s="64"/>
      <x:c r="B55" s="66"/>
      <x:c r="C55" s="64"/>
      <x:c r="D55" s="64"/>
      <x:c r="E55" s="64"/>
      <x:c r="F55" s="64"/>
      <x:c r="G55" s="64"/>
      <x:c r="H55" s="64"/>
    </x:row>
    <x:row r="56">
      <x:c r="A56" s="64"/>
      <x:c r="B56" s="66"/>
      <x:c r="C56" s="64"/>
      <x:c r="D56" s="64"/>
      <x:c r="E56" s="64"/>
      <x:c r="F56" s="64"/>
      <x:c r="G56" s="64"/>
      <x:c r="H56" s="64"/>
    </x:row>
    <x:row r="57">
      <x:c r="A57" s="64"/>
      <x:c r="B57" s="66"/>
      <x:c r="C57" s="64"/>
      <x:c r="D57" s="64"/>
      <x:c r="E57" s="64"/>
      <x:c r="F57" s="64"/>
      <x:c r="G57" s="64"/>
      <x:c r="H57" s="64"/>
    </x:row>
    <x:row r="58">
      <x:c r="A58" s="64"/>
      <x:c r="B58" s="66"/>
      <x:c r="C58" s="64"/>
      <x:c r="D58" s="64"/>
      <x:c r="E58" s="64"/>
      <x:c r="F58" s="64"/>
      <x:c r="G58" s="64"/>
      <x:c r="H58" s="64"/>
    </x:row>
    <x:row r="59">
      <x:c r="A59" s="64"/>
      <x:c r="B59" s="66"/>
      <x:c r="C59" s="64"/>
      <x:c r="D59" s="64"/>
      <x:c r="E59" s="64"/>
      <x:c r="F59" s="64"/>
      <x:c r="G59" s="64"/>
      <x:c r="H59" s="64"/>
    </x:row>
    <x:row r="60">
      <x:c r="A60" s="64"/>
      <x:c r="B60" s="66"/>
      <x:c r="C60" s="64"/>
      <x:c r="D60" s="64"/>
      <x:c r="E60" s="64"/>
      <x:c r="F60" s="64"/>
      <x:c r="G60" s="64"/>
      <x:c r="H60" s="64"/>
    </x:row>
    <x:row r="61">
      <x:c r="A61" s="64"/>
      <x:c r="B61" s="66"/>
      <x:c r="C61" s="64"/>
      <x:c r="D61" s="64"/>
      <x:c r="E61" s="64"/>
      <x:c r="F61" s="64"/>
      <x:c r="G61" s="64"/>
      <x:c r="H61" s="64"/>
    </x:row>
    <x:row r="62">
      <x:c r="A62" s="64"/>
      <x:c r="B62" s="66"/>
      <x:c r="C62" s="64"/>
      <x:c r="D62" s="64"/>
      <x:c r="E62" s="64"/>
      <x:c r="F62" s="64"/>
      <x:c r="G62" s="64"/>
      <x:c r="H62" s="64"/>
    </x:row>
    <x:row r="63">
      <x:c r="A63" s="64"/>
      <x:c r="B63" s="66"/>
      <x:c r="C63" s="64"/>
      <x:c r="D63" s="64"/>
      <x:c r="E63" s="64"/>
      <x:c r="F63" s="64"/>
      <x:c r="G63" s="64"/>
      <x:c r="H63" s="64"/>
    </x:row>
    <x:row r="64">
      <x:c r="A64" s="64"/>
      <x:c r="B64" s="66"/>
      <x:c r="C64" s="64"/>
      <x:c r="D64" s="64"/>
      <x:c r="E64" s="64"/>
      <x:c r="F64" s="64"/>
      <x:c r="G64" s="64"/>
      <x:c r="H64" s="64"/>
    </x:row>
    <x:row r="65">
      <x:c r="A65" s="64"/>
      <x:c r="B65" s="66"/>
      <x:c r="C65" s="64"/>
      <x:c r="D65" s="64"/>
      <x:c r="E65" s="64"/>
      <x:c r="F65" s="64"/>
      <x:c r="G65" s="64"/>
      <x:c r="H65" s="64"/>
    </x:row>
    <x:row r="66">
      <x:c r="A66" s="64"/>
      <x:c r="B66" s="66"/>
      <x:c r="C66" s="64"/>
      <x:c r="D66" s="64"/>
      <x:c r="E66" s="64"/>
      <x:c r="F66" s="64"/>
      <x:c r="G66" s="64"/>
      <x:c r="H66" s="64"/>
    </x:row>
    <x:row r="67">
      <x:c r="A67" s="64"/>
      <x:c r="B67" s="66"/>
      <x:c r="C67" s="64"/>
      <x:c r="D67" s="64"/>
      <x:c r="E67" s="64"/>
      <x:c r="F67" s="64"/>
      <x:c r="G67" s="64"/>
      <x:c r="H67" s="64"/>
    </x:row>
    <x:row r="68">
      <x:c r="A68" s="64"/>
      <x:c r="B68" s="66"/>
      <x:c r="C68" s="64"/>
      <x:c r="D68" s="64"/>
      <x:c r="E68" s="64"/>
      <x:c r="F68" s="64"/>
      <x:c r="G68" s="64"/>
      <x:c r="H68" s="64"/>
    </x:row>
    <x:row r="69">
      <x:c r="A69" s="64"/>
      <x:c r="B69" s="66"/>
      <x:c r="C69" s="64"/>
      <x:c r="D69" s="64"/>
      <x:c r="E69" s="64"/>
      <x:c r="F69" s="64"/>
      <x:c r="G69" s="64"/>
      <x:c r="H69" s="64"/>
    </x:row>
    <x:row r="70">
      <x:c r="A70" s="64"/>
      <x:c r="B70" s="66"/>
      <x:c r="C70" s="64"/>
      <x:c r="D70" s="64"/>
      <x:c r="E70" s="64"/>
      <x:c r="F70" s="64"/>
      <x:c r="G70" s="64"/>
      <x:c r="H70" s="64"/>
    </x:row>
    <x:row r="71">
      <x:c r="A71" s="64"/>
      <x:c r="B71" s="66"/>
      <x:c r="C71" s="64"/>
      <x:c r="D71" s="64"/>
      <x:c r="E71" s="64"/>
      <x:c r="F71" s="64"/>
      <x:c r="G71" s="64"/>
      <x:c r="H71" s="64"/>
    </x:row>
    <x:row r="72">
      <x:c r="A72" s="64"/>
      <x:c r="B72" s="66"/>
      <x:c r="C72" s="64"/>
      <x:c r="D72" s="64"/>
      <x:c r="E72" s="64"/>
      <x:c r="F72" s="64"/>
      <x:c r="G72" s="64"/>
      <x:c r="H72" s="64"/>
    </x:row>
    <x:row r="73">
      <x:c r="A73" s="64"/>
      <x:c r="B73" s="66"/>
      <x:c r="C73" s="64"/>
      <x:c r="D73" s="64"/>
      <x:c r="E73" s="64"/>
      <x:c r="F73" s="64"/>
      <x:c r="G73" s="64"/>
      <x:c r="H73" s="64"/>
    </x:row>
    <x:row r="74">
      <x:c r="A74" s="64"/>
      <x:c r="B74" s="66"/>
      <x:c r="C74" s="64"/>
      <x:c r="D74" s="64"/>
      <x:c r="E74" s="64"/>
      <x:c r="F74" s="64"/>
      <x:c r="G74" s="64"/>
      <x:c r="H74" s="64"/>
    </x:row>
    <x:row r="75">
      <x:c r="A75" s="64"/>
      <x:c r="B75" s="66"/>
      <x:c r="C75" s="64"/>
      <x:c r="D75" s="64"/>
      <x:c r="E75" s="64"/>
      <x:c r="F75" s="64"/>
      <x:c r="G75" s="64"/>
      <x:c r="H75" s="64"/>
    </x:row>
    <x:row r="76">
      <x:c r="A76" s="64"/>
      <x:c r="B76" s="66"/>
      <x:c r="C76" s="64"/>
      <x:c r="D76" s="64"/>
      <x:c r="E76" s="64"/>
      <x:c r="F76" s="64"/>
      <x:c r="G76" s="64"/>
      <x:c r="H76" s="64"/>
    </x:row>
    <x:row r="77">
      <x:c r="A77" s="64"/>
      <x:c r="B77" s="66"/>
      <x:c r="C77" s="64"/>
      <x:c r="D77" s="64"/>
      <x:c r="E77" s="64"/>
      <x:c r="F77" s="64"/>
      <x:c r="G77" s="64"/>
      <x:c r="H77" s="64"/>
    </x:row>
    <x:row r="78">
      <x:c r="A78" s="64"/>
      <x:c r="B78" s="66"/>
      <x:c r="C78" s="64"/>
      <x:c r="D78" s="64"/>
      <x:c r="E78" s="64"/>
      <x:c r="F78" s="64"/>
      <x:c r="G78" s="64"/>
      <x:c r="H78" s="64"/>
    </x:row>
    <x:row r="79">
      <x:c r="A79" s="64"/>
      <x:c r="B79" s="66"/>
      <x:c r="C79" s="64"/>
      <x:c r="D79" s="64"/>
      <x:c r="E79" s="64"/>
      <x:c r="F79" s="64"/>
      <x:c r="G79" s="64"/>
      <x:c r="H79" s="64"/>
    </x:row>
    <x:row r="80">
      <x:c r="A80" s="64"/>
      <x:c r="B80" s="66"/>
      <x:c r="C80" s="64"/>
      <x:c r="D80" s="64"/>
      <x:c r="E80" s="64"/>
      <x:c r="F80" s="64"/>
      <x:c r="G80" s="64"/>
      <x:c r="H80" s="64"/>
    </x:row>
    <x:row r="81">
      <x:c r="A81" s="64"/>
      <x:c r="B81" s="66"/>
      <x:c r="C81" s="64"/>
      <x:c r="D81" s="64"/>
      <x:c r="E81" s="64"/>
      <x:c r="F81" s="64"/>
      <x:c r="G81" s="64"/>
      <x:c r="H81" s="64"/>
    </x:row>
    <x:row r="82">
      <x:c r="A82" s="64"/>
      <x:c r="B82" s="66"/>
      <x:c r="C82" s="64"/>
      <x:c r="D82" s="64"/>
      <x:c r="E82" s="64"/>
      <x:c r="F82" s="64"/>
      <x:c r="G82" s="64"/>
      <x:c r="H82" s="64"/>
    </x:row>
    <x:row r="83">
      <x:c r="A83" s="64"/>
      <x:c r="B83" s="66"/>
      <x:c r="C83" s="64"/>
      <x:c r="D83" s="64"/>
      <x:c r="E83" s="64"/>
      <x:c r="F83" s="64"/>
      <x:c r="G83" s="64"/>
      <x:c r="H83" s="64"/>
    </x:row>
    <x:row r="84">
      <x:c r="A84" s="64"/>
      <x:c r="B84" s="66"/>
      <x:c r="C84" s="64"/>
      <x:c r="D84" s="64"/>
      <x:c r="E84" s="64"/>
      <x:c r="F84" s="64"/>
      <x:c r="G84" s="64"/>
      <x:c r="H84" s="64"/>
    </x:row>
    <x:row r="85">
      <x:c r="A85" s="64"/>
      <x:c r="B85" s="66"/>
      <x:c r="C85" s="64"/>
      <x:c r="D85" s="64"/>
      <x:c r="E85" s="64"/>
      <x:c r="F85" s="64"/>
      <x:c r="G85" s="64"/>
      <x:c r="H85" s="64"/>
    </x:row>
    <x:row r="86">
      <x:c r="A86" s="64"/>
      <x:c r="B86" s="66"/>
      <x:c r="C86" s="64"/>
      <x:c r="D86" s="64"/>
      <x:c r="E86" s="64"/>
      <x:c r="F86" s="64"/>
      <x:c r="G86" s="64"/>
      <x:c r="H86" s="64"/>
    </x:row>
    <x:row r="87">
      <x:c r="A87" s="64"/>
      <x:c r="B87" s="66"/>
      <x:c r="C87" s="64"/>
      <x:c r="D87" s="64"/>
      <x:c r="E87" s="64"/>
      <x:c r="F87" s="64"/>
      <x:c r="G87" s="64"/>
      <x:c r="H87" s="64"/>
    </x:row>
    <x:row r="88">
      <x:c r="A88" s="64"/>
      <x:c r="B88" s="66"/>
      <x:c r="C88" s="64"/>
      <x:c r="D88" s="64"/>
      <x:c r="E88" s="64"/>
      <x:c r="F88" s="64"/>
      <x:c r="G88" s="64"/>
      <x:c r="H88" s="64"/>
    </x:row>
    <x:row r="89">
      <x:c r="A89" s="64"/>
      <x:c r="B89" s="66"/>
      <x:c r="C89" s="64"/>
      <x:c r="D89" s="64"/>
      <x:c r="E89" s="64"/>
      <x:c r="F89" s="64"/>
      <x:c r="G89" s="64"/>
      <x:c r="H89" s="64"/>
    </x:row>
    <x:row r="90">
      <x:c r="A90" s="64"/>
      <x:c r="B90" s="66"/>
      <x:c r="C90" s="64"/>
      <x:c r="D90" s="64"/>
      <x:c r="E90" s="64"/>
      <x:c r="F90" s="64"/>
      <x:c r="G90" s="64"/>
      <x:c r="H90" s="64"/>
    </x:row>
    <x:row r="91">
      <x:c r="A91" s="64"/>
      <x:c r="B91" s="66"/>
      <x:c r="C91" s="64"/>
      <x:c r="D91" s="64"/>
      <x:c r="E91" s="64"/>
      <x:c r="F91" s="64"/>
      <x:c r="G91" s="64"/>
      <x:c r="H91" s="64"/>
    </x:row>
    <x:row r="92">
      <x:c r="A92" s="64"/>
      <x:c r="B92" s="66"/>
      <x:c r="C92" s="64"/>
      <x:c r="D92" s="64"/>
      <x:c r="E92" s="64"/>
      <x:c r="F92" s="64"/>
      <x:c r="G92" s="64"/>
      <x:c r="H92" s="64"/>
    </x:row>
    <x:row r="93">
      <x:c r="A93" s="64"/>
      <x:c r="B93" s="66"/>
      <x:c r="C93" s="64"/>
      <x:c r="D93" s="64"/>
      <x:c r="E93" s="64"/>
      <x:c r="F93" s="64"/>
      <x:c r="G93" s="64"/>
      <x:c r="H93" s="64"/>
    </x:row>
    <x:row r="94">
      <x:c r="A94" s="64"/>
      <x:c r="B94" s="66"/>
      <x:c r="C94" s="64"/>
      <x:c r="D94" s="64"/>
      <x:c r="E94" s="64"/>
      <x:c r="F94" s="64"/>
      <x:c r="G94" s="64"/>
      <x:c r="H94" s="64"/>
    </x:row>
    <x:row r="95">
      <x:c r="A95" s="64"/>
      <x:c r="B95" s="66"/>
      <x:c r="C95" s="64"/>
      <x:c r="D95" s="64"/>
      <x:c r="E95" s="64"/>
      <x:c r="F95" s="64"/>
      <x:c r="G95" s="64"/>
      <x:c r="H95" s="64"/>
    </x:row>
    <x:row r="96">
      <x:c r="A96" s="64"/>
      <x:c r="B96" s="66"/>
      <x:c r="C96" s="64"/>
      <x:c r="D96" s="64"/>
      <x:c r="E96" s="64"/>
      <x:c r="F96" s="64"/>
      <x:c r="G96" s="64"/>
      <x:c r="H96" s="64"/>
    </x:row>
    <x:row r="97">
      <x:c r="A97" s="64"/>
      <x:c r="B97" s="66"/>
      <x:c r="C97" s="64"/>
      <x:c r="D97" s="64"/>
      <x:c r="E97" s="64"/>
      <x:c r="F97" s="64"/>
      <x:c r="G97" s="64"/>
      <x:c r="H97" s="64"/>
    </x:row>
    <x:row r="98">
      <x:c r="A98" s="64"/>
      <x:c r="B98" s="66"/>
      <x:c r="C98" s="64"/>
      <x:c r="D98" s="64"/>
      <x:c r="E98" s="64"/>
      <x:c r="F98" s="64"/>
      <x:c r="G98" s="64"/>
      <x:c r="H98" s="64"/>
    </x:row>
    <x:row r="99">
      <x:c r="A99" s="64"/>
      <x:c r="B99" s="66"/>
      <x:c r="C99" s="64"/>
      <x:c r="D99" s="64"/>
      <x:c r="E99" s="64"/>
      <x:c r="F99" s="64"/>
      <x:c r="G99" s="64"/>
      <x:c r="H99" s="64"/>
    </x:row>
    <x:row r="100">
      <x:c r="A100" s="64"/>
      <x:c r="B100" s="66"/>
      <x:c r="C100" s="64"/>
      <x:c r="D100" s="64"/>
      <x:c r="E100" s="64"/>
      <x:c r="F100" s="64"/>
      <x:c r="G100" s="64"/>
      <x:c r="H100" s="64"/>
    </x:row>
    <x:row r="101">
      <x:c r="A101" s="64"/>
      <x:c r="B101" s="66"/>
      <x:c r="C101" s="64"/>
      <x:c r="D101" s="64"/>
      <x:c r="E101" s="64"/>
      <x:c r="F101" s="64"/>
      <x:c r="G101" s="64"/>
      <x:c r="H101" s="64"/>
    </x:row>
    <x:row r="102">
      <x:c r="A102" s="64"/>
      <x:c r="B102" s="66"/>
      <x:c r="C102" s="64"/>
      <x:c r="D102" s="64"/>
      <x:c r="E102" s="64"/>
      <x:c r="F102" s="64"/>
      <x:c r="G102" s="64"/>
      <x:c r="H102" s="64"/>
    </x:row>
    <x:row r="103">
      <x:c r="A103" s="64"/>
      <x:c r="B103" s="66"/>
      <x:c r="C103" s="64"/>
      <x:c r="D103" s="64"/>
      <x:c r="E103" s="64"/>
      <x:c r="F103" s="64"/>
      <x:c r="G103" s="64"/>
      <x:c r="H103" s="64"/>
    </x:row>
    <x:row r="104">
      <x:c r="A104" s="65"/>
      <x:c r="B104" s="67"/>
      <x:c r="C104" s="65"/>
      <x:c r="D104" s="65"/>
      <x:c r="E104" s="65"/>
      <x:c r="F104" s="65"/>
      <x:c r="G104" s="65"/>
      <x:c r="H104" s="65"/>
    </x:row>
  </x:sheetData>
  <x:mergeCells>
    <x:mergeCell ref="A1:H1"/>
    <x:mergeCell ref="A2:X2"/>
  </x:mergeCells>
  <x:dataValidations count="1">
    <x:dataValidation type="list" sqref="C5:C104">
      <x:formula1>"Monthly Review,Correction,Structural Change,Access Change,Import / Export,Incident,Other"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03cd5407334980"/>
  </x:tableParts>
</x:worksheet>
</file>
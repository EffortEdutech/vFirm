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263d4733b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acb1877ad6b4852"/>
    <x:sheet xmlns:r="http://schemas.openxmlformats.org/officeDocument/2006/relationships" name="Invoice" sheetId="2" r:id="R784098b0475e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 mmm yyyy"/>
    <x:numFmt numFmtId="202" formatCode="&quot;RM&quot; #,##0.00"/>
    <x:numFmt numFmtId="203" formatCode="dd mmm yyyy hh:mm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E6F4E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22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4" borderId="3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1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200" fontId="0" fillId="6" borderId="3" xfId="0" applyNumberFormat="1" applyFont="1" applyFill="1" applyBorder="1"/>
    <x:xf numFmtId="200" fontId="0" fillId="6" borderId="0" xfId="0" applyNumberFormat="1" applyFont="1" applyFill="1" applyBorder="1"/>
    <x:xf numFmtId="200" fontId="0" fillId="6" borderId="8" xfId="0" applyNumberFormat="1" applyFont="1" applyFill="1" applyBorder="1"/>
    <x:xf numFmtId="200" fontId="0" fillId="6" borderId="11" xfId="0" applyNumberFormat="1" applyFont="1" applyFill="1" applyBorder="1"/>
    <x:xf numFmtId="200" fontId="0" fillId="6" borderId="1" xfId="0" applyNumberFormat="1" applyFont="1" applyFill="1" applyBorder="1"/>
    <x:xf numFmtId="200" fontId="0" fillId="6" borderId="16" xfId="0" applyNumberFormat="1" applyFont="1" applyFill="1" applyBorder="1"/>
    <x:xf numFmtId="202" fontId="0" fillId="4" borderId="3" xfId="0" applyNumberFormat="1" applyFont="1" applyFill="1" applyBorder="1"/>
    <x:xf numFmtId="202" fontId="0" fillId="4" borderId="0" xfId="0" applyNumberFormat="1" applyFont="1" applyFill="1" applyBorder="1"/>
    <x:xf numFmtId="202" fontId="0" fillId="4" borderId="8" xfId="0" applyNumberFormat="1" applyFont="1" applyFill="1" applyBorder="1"/>
    <x:xf numFmtId="202" fontId="0" fillId="4" borderId="11" xfId="0" applyNumberFormat="1" applyFont="1" applyFill="1" applyBorder="1"/>
    <x:xf numFmtId="202" fontId="0" fillId="4" borderId="1" xfId="0" applyNumberFormat="1" applyFont="1" applyFill="1" applyBorder="1"/>
    <x:xf numFmtId="202" fontId="0" fillId="4" borderId="16" xfId="0" applyNumberFormat="1" applyFont="1" applyFill="1" applyBorder="1"/>
    <x:xf numFmtId="202" fontId="0" fillId="6" borderId="3" xfId="0" applyNumberFormat="1" applyFont="1" applyFill="1" applyBorder="1"/>
    <x:xf numFmtId="202" fontId="0" fillId="6" borderId="0" xfId="0" applyNumberFormat="1" applyFont="1" applyFill="1" applyBorder="1"/>
    <x:xf numFmtId="202" fontId="0" fillId="6" borderId="8" xfId="0" applyNumberFormat="1" applyFont="1" applyFill="1" applyBorder="1"/>
    <x:xf numFmtId="202" fontId="0" fillId="6" borderId="11" xfId="0" applyNumberFormat="1" applyFont="1" applyFill="1" applyBorder="1"/>
    <x:xf numFmtId="202" fontId="0" fillId="6" borderId="1" xfId="0" applyNumberFormat="1" applyFont="1" applyFill="1" applyBorder="1"/>
    <x:xf numFmtId="202" fontId="0" fillId="6" borderId="16" xfId="0" applyNumberFormat="1" applyFont="1" applyFill="1" applyBorder="1"/>
    <x:xf numFmtId="202" fontId="0" fillId="6" borderId="4" xfId="0" applyNumberFormat="1" applyFont="1" applyFill="1" applyBorder="1"/>
    <x:xf numFmtId="202" fontId="0" fillId="6" borderId="6" xfId="0" applyNumberFormat="1" applyFont="1" applyFill="1" applyBorder="1"/>
    <x:xf numFmtId="202" fontId="0" fillId="6" borderId="9" xfId="0" applyNumberFormat="1" applyFont="1" applyFill="1" applyBorder="1"/>
    <x:xf numFmtId="202" fontId="0" fillId="6" borderId="12" xfId="0" applyNumberFormat="1" applyFont="1" applyFill="1" applyBorder="1"/>
    <x:xf numFmtId="202" fontId="0" fillId="6" borderId="14" xfId="0" applyNumberFormat="1" applyFont="1" applyFill="1" applyBorder="1"/>
    <x:xf numFmtId="202" fontId="0" fillId="6" borderId="17" xfId="0" applyNumberFormat="1" applyFont="1" applyFill="1" applyBorder="1"/>
    <x:xf numFmtId="0" fontId="3" fillId="5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5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9" xfId="0" applyNumberFormat="1" applyFont="1" applyFill="1" applyBorder="1"/>
    <x:xf numFmtId="0" fontId="0" fillId="8" borderId="17" xfId="0" applyNumberFormat="1" applyFont="1" applyFill="1" applyBorder="1"/>
    <x:xf numFmtId="202" fontId="0" fillId="4" borderId="6" xfId="0" applyNumberFormat="1" applyFont="1" applyFill="1" applyBorder="1"/>
    <x:xf numFmtId="202" fontId="0" fillId="8" borderId="9" xfId="0" applyNumberFormat="1" applyFont="1" applyFill="1" applyBorder="1"/>
    <x:xf numFmtId="202" fontId="0" fillId="4" borderId="14" xfId="0" applyNumberFormat="1" applyFont="1" applyFill="1" applyBorder="1"/>
    <x:xf numFmtId="202" fontId="0" fillId="8" borderId="17" xfId="0" applyNumberFormat="1" applyFont="1" applyFill="1" applyBorder="1"/>
    <x:xf numFmtId="202" fontId="0" fillId="4" borderId="4" xfId="0" applyNumberFormat="1" applyFont="1" applyFill="1" applyBorder="1"/>
    <x:xf numFmtId="202" fontId="0" fillId="4" borderId="12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203" fontId="0" fillId="4" borderId="19" xfId="0" applyNumberFormat="1" applyFont="1" applyFill="1" applyBorder="1"/>
    <x:xf numFmtId="203" fontId="0" fillId="4" borderId="2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09d3013074abd" /><Relationship Type="http://schemas.openxmlformats.org/officeDocument/2006/relationships/theme" Target="/xl/theme/theme1.xml" Id="Rde19f1350c784278" /><Relationship Type="http://schemas.openxmlformats.org/officeDocument/2006/relationships/sharedStrings" Target="/xl/sharedStrings.xml" Id="Re724797cfe244aa7" /><Relationship Type="http://schemas.openxmlformats.org/officeDocument/2006/relationships/worksheet" Target="/xl/worksheets/sheet1.xml" Id="R7acb1877ad6b4852" /><Relationship Type="http://schemas.openxmlformats.org/officeDocument/2006/relationships/worksheet" Target="/xl/worksheets/sheet2.xml" Id="R784098b0475e4d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1358ce8b9724dd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3e9e1fad-106e-44c8-b1f7-d60f96d602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358ce8b9724d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bae7c824e90445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INVOICE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NEX-INV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INVOICE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Invoice No.</x:v>
      </x:c>
      <x:c r="I3" s="76"/>
      <x:c r="J3" s="85" t="str">
        <x:v>NEX-INV-2026-0001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Due Date</x:v>
      </x:c>
      <x:c r="I5" s="92"/>
      <x:c r="J5" s="101" t="n">
        <x:f>J4+Setup!B16</x:f>
        <x:v>46276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BILL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REFERENCE INFORMATION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91" t="str">
        <x:v>Customer PO / Ref.</x:v>
      </x:c>
      <x:c r="B15" s="141"/>
      <x:c r="C15" s="141"/>
      <x:c r="D15" s="141"/>
      <x:c r="E15" s="92" t="str">
        <x:v>Related Quotation / DO</x:v>
      </x:c>
      <x:c r="F15" s="141"/>
      <x:c r="G15" s="141"/>
      <x:c r="H15" s="141"/>
      <x:c r="I15" s="141"/>
      <x:c r="J15" s="97"/>
    </x:row>
    <x:row r="17">
      <x:c r="A17" s="145" t="str">
        <x:v>No.</x:v>
      </x:c>
      <x:c r="B17" s="146" t="str">
        <x:v>Item / Description</x:v>
      </x:c>
      <x:c r="C17" s="146" t="str">
        <x:v>Qty</x:v>
      </x:c>
      <x:c r="D17" s="146" t="str">
        <x:v>Unit</x:v>
      </x:c>
      <x:c r="E17" s="146" t="str">
        <x:v>Unit Price (RM)</x:v>
      </x:c>
      <x:c r="F17" s="146" t="str">
        <x:v>Disc. %</x:v>
      </x:c>
      <x:c r="G17" s="146" t="str">
        <x:v>Subtotal (RM)</x:v>
      </x:c>
      <x:c r="H17" s="146" t="str">
        <x:v>Tax %</x:v>
      </x:c>
      <x:c r="I17" s="146" t="str">
        <x:v>Tax (RM)</x:v>
      </x:c>
      <x:c r="J17" s="147" t="str">
        <x:v>Line Total (RM)</x:v>
      </x:c>
    </x:row>
    <x:row r="18">
      <x:c r="A18" s="151" t="n">
        <x:v>1</x:v>
      </x:c>
      <x:c r="B18" s="127"/>
      <x:c r="C18" s="127"/>
      <x:c r="D18" s="127"/>
      <x:c r="E18" s="181"/>
      <x:c r="F18" s="169" t="n">
        <x:v>0</x:v>
      </x:c>
      <x:c r="G18" s="187" t="str">
        <x:f>IF(OR(B18="",C18="",E18=""),"",C18*E18*(1-F18))</x:f>
      </x:c>
      <x:c r="H18" s="175" t="n">
        <x:f>Setup!B15</x:f>
        <x:v>0</x:v>
      </x:c>
      <x:c r="I18" s="187" t="str">
        <x:f>IF(G18="","",G18*H18)</x:f>
      </x:c>
      <x:c r="J18" s="193" t="str">
        <x:f>IF(G18="","",G18+I18)</x:f>
      </x:c>
    </x:row>
    <x:row r="19">
      <x:c r="A19" s="152" t="n">
        <x:v>2</x:v>
      </x:c>
      <x:c r="B19" s="31"/>
      <x:c r="C19" s="31"/>
      <x:c r="D19" s="31"/>
      <x:c r="E19" s="182"/>
      <x:c r="F19" s="170" t="n">
        <x:v>0</x:v>
      </x:c>
      <x:c r="G19" s="188" t="str">
        <x:f>IF(OR(B19="",C19="",E19=""),"",C19*E19*(1-F19))</x:f>
      </x:c>
      <x:c r="H19" s="176" t="n">
        <x:f>Setup!B15</x:f>
        <x:v>0</x:v>
      </x:c>
      <x:c r="I19" s="188" t="str">
        <x:f>IF(G19="","",G19*H19)</x:f>
      </x:c>
      <x:c r="J19" s="194" t="str">
        <x:f>IF(G19="","",G19+I19)</x:f>
      </x:c>
    </x:row>
    <x:row r="20">
      <x:c r="A20" s="152" t="n">
        <x:v>3</x:v>
      </x:c>
      <x:c r="B20" s="31"/>
      <x:c r="C20" s="31"/>
      <x:c r="D20" s="31"/>
      <x:c r="E20" s="182"/>
      <x:c r="F20" s="170" t="n">
        <x:v>0</x:v>
      </x:c>
      <x:c r="G20" s="188" t="str">
        <x:f>IF(OR(B20="",C20="",E20=""),"",C20*E20*(1-F20))</x:f>
      </x:c>
      <x:c r="H20" s="176" t="n">
        <x:f>Setup!B15</x:f>
        <x:v>0</x:v>
      </x:c>
      <x:c r="I20" s="188" t="str">
        <x:f>IF(G20="","",G20*H20)</x:f>
      </x:c>
      <x:c r="J20" s="194" t="str">
        <x:f>IF(G20="","",G20+I20)</x:f>
      </x:c>
    </x:row>
    <x:row r="21">
      <x:c r="A21" s="152" t="n">
        <x:v>4</x:v>
      </x:c>
      <x:c r="B21" s="31"/>
      <x:c r="C21" s="31"/>
      <x:c r="D21" s="31"/>
      <x:c r="E21" s="182"/>
      <x:c r="F21" s="170" t="n">
        <x:v>0</x:v>
      </x:c>
      <x:c r="G21" s="188" t="str">
        <x:f>IF(OR(B21="",C21="",E21=""),"",C21*E21*(1-F21))</x:f>
      </x:c>
      <x:c r="H21" s="176" t="n">
        <x:f>Setup!B15</x:f>
        <x:v>0</x:v>
      </x:c>
      <x:c r="I21" s="188" t="str">
        <x:f>IF(G21="","",G21*H21)</x:f>
      </x:c>
      <x:c r="J21" s="194" t="str">
        <x:f>IF(G21="","",G21+I21)</x:f>
      </x:c>
    </x:row>
    <x:row r="22">
      <x:c r="A22" s="152" t="n">
        <x:v>5</x:v>
      </x:c>
      <x:c r="B22" s="31"/>
      <x:c r="C22" s="31"/>
      <x:c r="D22" s="31"/>
      <x:c r="E22" s="182"/>
      <x:c r="F22" s="170" t="n">
        <x:v>0</x:v>
      </x:c>
      <x:c r="G22" s="188" t="str">
        <x:f>IF(OR(B22="",C22="",E22=""),"",C22*E22*(1-F22))</x:f>
      </x:c>
      <x:c r="H22" s="176" t="n">
        <x:f>Setup!B15</x:f>
        <x:v>0</x:v>
      </x:c>
      <x:c r="I22" s="188" t="str">
        <x:f>IF(G22="","",G22*H22)</x:f>
      </x:c>
      <x:c r="J22" s="194" t="str">
        <x:f>IF(G22="","",G22+I22)</x:f>
      </x:c>
    </x:row>
    <x:row r="23">
      <x:c r="A23" s="152" t="n">
        <x:v>6</x:v>
      </x:c>
      <x:c r="B23" s="31"/>
      <x:c r="C23" s="31"/>
      <x:c r="D23" s="31"/>
      <x:c r="E23" s="182"/>
      <x:c r="F23" s="170" t="n">
        <x:v>0</x:v>
      </x:c>
      <x:c r="G23" s="188" t="str">
        <x:f>IF(OR(B23="",C23="",E23=""),"",C23*E23*(1-F23))</x:f>
      </x:c>
      <x:c r="H23" s="176" t="n">
        <x:f>Setup!B15</x:f>
        <x:v>0</x:v>
      </x:c>
      <x:c r="I23" s="188" t="str">
        <x:f>IF(G23="","",G23*H23)</x:f>
      </x:c>
      <x:c r="J23" s="194" t="str">
        <x:f>IF(G23="","",G23+I23)</x:f>
      </x:c>
    </x:row>
    <x:row r="24">
      <x:c r="A24" s="152" t="n">
        <x:v>7</x:v>
      </x:c>
      <x:c r="B24" s="31"/>
      <x:c r="C24" s="31"/>
      <x:c r="D24" s="31"/>
      <x:c r="E24" s="182"/>
      <x:c r="F24" s="170" t="n">
        <x:v>0</x:v>
      </x:c>
      <x:c r="G24" s="188" t="str">
        <x:f>IF(OR(B24="",C24="",E24=""),"",C24*E24*(1-F24))</x:f>
      </x:c>
      <x:c r="H24" s="176" t="n">
        <x:f>Setup!B15</x:f>
        <x:v>0</x:v>
      </x:c>
      <x:c r="I24" s="188" t="str">
        <x:f>IF(G24="","",G24*H24)</x:f>
      </x:c>
      <x:c r="J24" s="194" t="str">
        <x:f>IF(G24="","",G24+I24)</x:f>
      </x:c>
    </x:row>
    <x:row r="25">
      <x:c r="A25" s="152" t="n">
        <x:v>8</x:v>
      </x:c>
      <x:c r="B25" s="31"/>
      <x:c r="C25" s="31"/>
      <x:c r="D25" s="31"/>
      <x:c r="E25" s="182"/>
      <x:c r="F25" s="170" t="n">
        <x:v>0</x:v>
      </x:c>
      <x:c r="G25" s="188" t="str">
        <x:f>IF(OR(B25="",C25="",E25=""),"",C25*E25*(1-F25))</x:f>
      </x:c>
      <x:c r="H25" s="176" t="n">
        <x:f>Setup!B15</x:f>
        <x:v>0</x:v>
      </x:c>
      <x:c r="I25" s="188" t="str">
        <x:f>IF(G25="","",G25*H25)</x:f>
      </x:c>
      <x:c r="J25" s="194" t="str">
        <x:f>IF(G25="","",G25+I25)</x:f>
      </x:c>
    </x:row>
    <x:row r="26">
      <x:c r="A26" s="152" t="n">
        <x:v>9</x:v>
      </x:c>
      <x:c r="B26" s="31"/>
      <x:c r="C26" s="31"/>
      <x:c r="D26" s="31"/>
      <x:c r="E26" s="182"/>
      <x:c r="F26" s="170" t="n">
        <x:v>0</x:v>
      </x:c>
      <x:c r="G26" s="188" t="str">
        <x:f>IF(OR(B26="",C26="",E26=""),"",C26*E26*(1-F26))</x:f>
      </x:c>
      <x:c r="H26" s="176" t="n">
        <x:f>Setup!B15</x:f>
        <x:v>0</x:v>
      </x:c>
      <x:c r="I26" s="188" t="str">
        <x:f>IF(G26="","",G26*H26)</x:f>
      </x:c>
      <x:c r="J26" s="194" t="str">
        <x:f>IF(G26="","",G26+I26)</x:f>
      </x:c>
    </x:row>
    <x:row r="27">
      <x:c r="A27" s="152" t="n">
        <x:v>10</x:v>
      </x:c>
      <x:c r="B27" s="31"/>
      <x:c r="C27" s="31"/>
      <x:c r="D27" s="31"/>
      <x:c r="E27" s="182"/>
      <x:c r="F27" s="170" t="n">
        <x:v>0</x:v>
      </x:c>
      <x:c r="G27" s="188" t="str">
        <x:f>IF(OR(B27="",C27="",E27=""),"",C27*E27*(1-F27))</x:f>
      </x:c>
      <x:c r="H27" s="176" t="n">
        <x:f>Setup!B15</x:f>
        <x:v>0</x:v>
      </x:c>
      <x:c r="I27" s="188" t="str">
        <x:f>IF(G27="","",G27*H27)</x:f>
      </x:c>
      <x:c r="J27" s="194" t="str">
        <x:f>IF(G27="","",G27+I27)</x:f>
      </x:c>
    </x:row>
    <x:row r="28">
      <x:c r="A28" s="152" t="n">
        <x:v>11</x:v>
      </x:c>
      <x:c r="B28" s="31"/>
      <x:c r="C28" s="31"/>
      <x:c r="D28" s="31"/>
      <x:c r="E28" s="182"/>
      <x:c r="F28" s="170" t="n">
        <x:v>0</x:v>
      </x:c>
      <x:c r="G28" s="188" t="str">
        <x:f>IF(OR(B28="",C28="",E28=""),"",C28*E28*(1-F28))</x:f>
      </x:c>
      <x:c r="H28" s="176" t="n">
        <x:f>Setup!B15</x:f>
        <x:v>0</x:v>
      </x:c>
      <x:c r="I28" s="188" t="str">
        <x:f>IF(G28="","",G28*H28)</x:f>
      </x:c>
      <x:c r="J28" s="194" t="str">
        <x:f>IF(G28="","",G28+I28)</x:f>
      </x:c>
    </x:row>
    <x:row r="29">
      <x:c r="A29" s="153" t="n">
        <x:v>12</x:v>
      </x:c>
      <x:c r="B29" s="32"/>
      <x:c r="C29" s="32"/>
      <x:c r="D29" s="32"/>
      <x:c r="E29" s="183"/>
      <x:c r="F29" s="171" t="n">
        <x:v>0</x:v>
      </x:c>
      <x:c r="G29" s="189" t="str">
        <x:f>IF(OR(B29="",C29="",E29=""),"",C29*E29*(1-F29))</x:f>
      </x:c>
      <x:c r="H29" s="177" t="n">
        <x:f>Setup!B15</x:f>
        <x:v>0</x:v>
      </x:c>
      <x:c r="I29" s="189" t="str">
        <x:f>IF(G29="","",G29*H29)</x:f>
      </x:c>
      <x:c r="J29" s="195" t="str">
        <x:f>IF(G29="","",G29+I29)</x:f>
      </x:c>
    </x:row>
    <x:row r="31">
      <x:c r="A31" s="75" t="str">
        <x:v>Notes / Special Instructions</x:v>
      </x:c>
      <x:c r="B31" s="76"/>
      <x:c r="C31" s="76"/>
      <x:c r="D31" s="76"/>
      <x:c r="E31" s="76"/>
      <x:c r="F31" s="199"/>
      <x:c r="G31" s="75" t="str">
        <x:v>Subtotal</x:v>
      </x:c>
      <x:c r="H31" s="76"/>
      <x:c r="I31" s="76"/>
      <x:c r="J31" s="193" t="n">
        <x:f>SUM(G18:G29)</x:f>
        <x:v>0</x:v>
      </x:c>
    </x:row>
    <x:row r="32">
      <x:c r="A32" s="200"/>
      <x:c r="B32" s="31"/>
      <x:c r="C32" s="31"/>
      <x:c r="D32" s="31"/>
      <x:c r="E32" s="31"/>
      <x:c r="F32" s="129"/>
      <x:c r="G32" s="131" t="str">
        <x:v>Tax</x:v>
      </x:c>
      <x:c r="H32" s="73"/>
      <x:c r="I32" s="73"/>
      <x:c r="J32" s="194" t="n">
        <x:f>SUM(I18:I29)</x:f>
        <x:v>0</x:v>
      </x:c>
    </x:row>
    <x:row r="33">
      <x:c r="A33" s="200"/>
      <x:c r="B33" s="31"/>
      <x:c r="C33" s="31"/>
      <x:c r="D33" s="31"/>
      <x:c r="E33" s="31"/>
      <x:c r="F33" s="129"/>
      <x:c r="G33" s="131" t="str">
        <x:v>Other Charges</x:v>
      </x:c>
      <x:c r="H33" s="73"/>
      <x:c r="I33" s="73"/>
      <x:c r="J33" s="207" t="n">
        <x:v>0</x:v>
      </x:c>
    </x:row>
    <x:row r="34">
      <x:c r="A34" s="200"/>
      <x:c r="B34" s="31"/>
      <x:c r="C34" s="31"/>
      <x:c r="D34" s="31"/>
      <x:c r="E34" s="31"/>
      <x:c r="F34" s="129"/>
      <x:c r="G34" s="131" t="str">
        <x:v>Additional Discount</x:v>
      </x:c>
      <x:c r="H34" s="73"/>
      <x:c r="I34" s="73"/>
      <x:c r="J34" s="207" t="n">
        <x:v>0</x:v>
      </x:c>
    </x:row>
    <x:row r="35">
      <x:c r="A35" s="200"/>
      <x:c r="B35" s="31"/>
      <x:c r="C35" s="31"/>
      <x:c r="D35" s="31"/>
      <x:c r="E35" s="31"/>
      <x:c r="F35" s="129"/>
      <x:c r="G35" s="78" t="str">
        <x:v>Grand Total</x:v>
      </x:c>
      <x:c r="H35" s="79"/>
      <x:c r="I35" s="79"/>
      <x:c r="J35" s="208" t="n">
        <x:f>J31+J32+J33-J34</x:f>
        <x:v>0</x:v>
      </x:c>
    </x:row>
    <x:row r="36">
      <x:c r="A36" s="201"/>
      <x:c r="B36" s="32"/>
      <x:c r="C36" s="32"/>
      <x:c r="D36" s="32"/>
      <x:c r="E36" s="32"/>
      <x:c r="F36" s="86"/>
      <x:c r="G36" s="75" t="str">
        <x:v>Amount Paid</x:v>
      </x:c>
      <x:c r="H36" s="76"/>
      <x:c r="I36" s="76"/>
      <x:c r="J36" s="211" t="n">
        <x:v>0</x:v>
      </x:c>
    </x:row>
    <x:row r="37">
      <x:c r="G37" s="78" t="str">
        <x:v>Balance Due</x:v>
      </x:c>
      <x:c r="H37" s="79"/>
      <x:c r="I37" s="79"/>
      <x:c r="J37" s="195" t="n">
        <x:f>J35-J36</x:f>
        <x:v>0</x:v>
      </x:c>
    </x:row>
    <x:row r="40">
      <x:c r="A40" s="107" t="str">
        <x:v>PAYMENT / TERMS</x:v>
      </x:c>
      <x:c r="B40" s="108"/>
      <x:c r="C40" s="108"/>
      <x:c r="D40" s="108"/>
      <x:c r="E40" s="108"/>
      <x:c r="F40" s="108"/>
      <x:c r="G40" s="108"/>
      <x:c r="H40" s="108"/>
      <x:c r="I40" s="108"/>
      <x:c r="J40" s="109"/>
    </x:row>
    <x:row r="41">
      <x:c r="A41" s="75" t="str">
        <x:v>Payment Terms</x:v>
      </x:c>
      <x:c r="B41" s="157" t="str">
        <x:f>Setup!B16&amp;" days"</x:f>
        <x:v>30 days</x:v>
      </x:c>
      <x:c r="C41" s="157"/>
      <x:c r="D41" s="157"/>
      <x:c r="E41" s="76" t="str">
        <x:v>Currency</x:v>
      </x:c>
      <x:c r="F41" s="157" t="str">
        <x:v>MYR</x:v>
      </x:c>
      <x:c r="G41" s="76" t="str">
        <x:v>Status</x:v>
      </x:c>
      <x:c r="H41" s="76"/>
      <x:c r="I41" s="127"/>
      <x:c r="J41" s="85"/>
    </x:row>
    <x:row r="42">
      <x:c r="A42" s="131" t="str">
        <x:v>Bank</x:v>
      </x:c>
      <x:c r="B42" s="159" t="str">
        <x:f>Setup!B10</x:f>
        <x:v>[TO BE ADDED]</x:v>
      </x:c>
      <x:c r="C42" s="159"/>
      <x:c r="D42" s="159"/>
      <x:c r="E42" s="73" t="str">
        <x:v>Account Name</x:v>
      </x:c>
      <x:c r="F42" s="159" t="str">
        <x:f>Setup!B11</x:f>
        <x:v>[TO BE ADDED]</x:v>
      </x:c>
      <x:c r="G42" s="159"/>
      <x:c r="H42" s="73" t="str">
        <x:v>Account No.</x:v>
      </x:c>
      <x:c r="I42" s="159" t="str">
        <x:f>Setup!B12</x:f>
        <x:v>[TO BE ADDED]</x:v>
      </x:c>
      <x:c r="J42" s="160"/>
    </x:row>
    <x:row r="43">
      <x:c r="A43" s="219" t="str">
        <x:v>Please quote the relevant document number when making payment or correspondence. Tax fields are provided for readiness; apply tax only when legally applicable.</x:v>
      </x:c>
      <x:c r="B43" s="220"/>
      <x:c r="C43" s="220"/>
      <x:c r="D43" s="220"/>
      <x:c r="E43" s="220"/>
      <x:c r="F43" s="220"/>
      <x:c r="G43" s="220"/>
      <x:c r="H43" s="220"/>
      <x:c r="I43" s="220"/>
      <x:c r="J43" s="221"/>
    </x:row>
    <x:row r="45">
      <x:c r="A45" s="107" t="str">
        <x:v>E-INVOICE REFERENCE (IF APPLICABLE)</x:v>
      </x:c>
      <x:c r="B45" s="108"/>
      <x:c r="C45" s="108"/>
      <x:c r="D45" s="108"/>
      <x:c r="E45" s="108"/>
      <x:c r="F45" s="108"/>
      <x:c r="G45" s="108"/>
      <x:c r="H45" s="108"/>
      <x:c r="I45" s="108"/>
      <x:c r="J45" s="109"/>
    </x:row>
    <x:row r="46">
      <x:c r="A46" s="91" t="str">
        <x:v>MyInvois UUID</x:v>
      </x:c>
      <x:c r="B46" s="141"/>
      <x:c r="C46" s="141"/>
      <x:c r="D46" s="141"/>
      <x:c r="E46" s="141"/>
      <x:c r="F46" s="92" t="str">
        <x:v>Validation Date/Time</x:v>
      </x:c>
      <x:c r="G46" s="92"/>
      <x:c r="H46" s="225"/>
      <x:c r="I46" s="141"/>
      <x:c r="J46" s="97"/>
    </x:row>
    <x:row r="49" ht="20" customHeight="1">
      <x:c r="A49" s="229" t="str">
        <x:f>Setup!B4&amp;"  |  Reg. No.: "&amp;Setup!B5&amp;"  |  TIN: "&amp;Setup!B6</x:f>
        <x:v>Nexa Office Supplies Sdn. Bhd.  |  Reg. No.: FIXTURE-000001  |  TIN: </x:v>
      </x:c>
      <x:c r="B49" s="229"/>
      <x:c r="C49" s="229"/>
      <x:c r="D49" s="229"/>
      <x:c r="E49" s="229"/>
      <x:c r="F49" s="229"/>
      <x:c r="G49" s="229"/>
      <x:c r="H49" s="229"/>
      <x:c r="I49" s="229"/>
      <x:c r="J49" s="229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J15"/>
    <x:mergeCell ref="A31:F31"/>
    <x:mergeCell ref="A32:F36"/>
    <x:mergeCell ref="G31:I31"/>
    <x:mergeCell ref="G32:I32"/>
    <x:mergeCell ref="G33:I33"/>
    <x:mergeCell ref="G34:I34"/>
    <x:mergeCell ref="G35:I35"/>
    <x:mergeCell ref="G36:I36"/>
    <x:mergeCell ref="G37:I37"/>
    <x:mergeCell ref="A40:J40"/>
    <x:mergeCell ref="B41:D41"/>
    <x:mergeCell ref="G41:H41"/>
    <x:mergeCell ref="I41:J41"/>
    <x:mergeCell ref="B42:D42"/>
    <x:mergeCell ref="F42:G42"/>
    <x:mergeCell ref="I42:J42"/>
    <x:mergeCell ref="A43:J43"/>
    <x:mergeCell ref="A45:J45"/>
    <x:mergeCell ref="B46:E46"/>
    <x:mergeCell ref="F46:G46"/>
    <x:mergeCell ref="H46:J46"/>
    <x:mergeCell ref="A49:J49"/>
  </x:mergeCells>
  <x:conditionalFormatting sqref="J37:J37">
    <x:cfRule type="expression" dxfId="0" priority="1">
      <x:formula>J37&gt;0</x:formula>
    </x:cfRule>
  </x:conditionalFormatting>
  <x:dataValidations count="2">
    <x:dataValidation type="list" sqref="D18:D29">
      <x:formula1>"unit,pcs,set,lot,box,pack,license,month,hour,day,service"</x:formula1>
    </x:dataValidation>
    <x:dataValidation type="list" sqref="I41">
      <x:formula1>"Draft,Issued,Accepted,Partially Paid,Paid,Cancelled,Void"</x:formula1>
    </x:dataValidation>
  </x:dataValidations>
  <x:pageMargins left="0.7" right="0.7" top="0.75" bottom="0.75" header="0.3" footer="0.3"/>
  <x:drawing xmlns:r="http://schemas.openxmlformats.org/officeDocument/2006/relationships" r:id="R1bae7c824e90445e"/>
</x:worksheet>
</file>
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ab507c5f9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13a18f4bcee4161"/>
    <x:sheet xmlns:r="http://schemas.openxmlformats.org/officeDocument/2006/relationships" name="Quotation" sheetId="2" r:id="Rd9181094a67c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dd mmm yyyy"/>
    <x:numFmt numFmtId="202" formatCode="0"/>
    <x:numFmt numFmtId="203" formatCode="&quot;RM&quot; #,##0.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9"/>
      <x:color rgb="FF102A44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  <x:font>
      <x:i/>
      <x:sz val="8"/>
      <x:color rgb="FF5B657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FFF7D6"/>
      </x:patternFill>
    </x:fill>
    <x:fill>
      <x:patternFill patternType="solid">
        <x:fgColor rgb="FFE9EEF3"/>
      </x:patternFill>
    </x:fill>
    <x:fill>
      <x:patternFill patternType="solid">
        <x:fgColor rgb="FFEDF4FA"/>
      </x:patternFill>
    </x:fill>
    <x:fill>
      <x:patternFill patternType="solid">
        <x:fgColor rgb="FF17385A"/>
      </x:patternFill>
    </x:fill>
    <x:fill>
      <x:patternFill patternType="solid">
        <x:fgColor rgb="FFE6F4EA"/>
      </x:patternFill>
    </x:fill>
    <x:fill>
      <x:patternFill patternType="solid">
        <x:fgColor rgb="FFF7F9FB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13" xfId="0" applyNumberFormat="1" applyFont="1" applyFill="1" applyBorder="1"/>
    <x:xf numFmtId="0" fontId="3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0" fillId="4" borderId="4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7" xfId="0" applyNumberFormat="1" applyFont="1" applyFill="1" applyBorder="1"/>
    <x:xf numFmtId="201" fontId="0" fillId="4" borderId="9" xfId="0" applyNumberFormat="1" applyFont="1" applyFill="1" applyBorder="1"/>
    <x:xf numFmtId="201" fontId="0" fillId="4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0" fillId="0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20" xfId="0" applyNumberFormat="1" applyFont="1" applyFill="1" applyBorder="1"/>
    <x:xf numFmtId="0" fontId="0" fillId="4" borderId="23" xfId="0" applyNumberFormat="1" applyFont="1" applyFill="1" applyBorder="1"/>
    <x:xf numFmtId="0" fontId="0" fillId="6" borderId="20" xfId="0" applyNumberFormat="1" applyFont="1" applyFill="1" applyBorder="1"/>
    <x:xf numFmtId="0" fontId="0" fillId="6" borderId="23" xfId="0" applyNumberFormat="1" applyFont="1" applyFill="1" applyBorder="1"/>
    <x:xf numFmtId="202" fontId="0" fillId="6" borderId="20" xfId="0" applyNumberFormat="1" applyFont="1" applyFill="1" applyBorder="1"/>
    <x:xf numFmtId="202" fontId="0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0" fillId="4" borderId="3" xfId="0" applyNumberFormat="1" applyFont="1" applyFill="1" applyBorder="1"/>
    <x:xf numFmtId="0" fontId="0" fillId="4" borderId="11" xfId="0" applyNumberFormat="1" applyFont="1" applyFill="1" applyBorder="1"/>
    <x:xf numFmtId="0" fontId="0" fillId="4" borderId="6" xfId="0" applyNumberFormat="1" applyFont="1" applyFill="1" applyBorder="1"/>
    <x:xf numFmtId="0" fontId="0" fillId="4" borderId="14" xfId="0" applyNumberFormat="1" applyFont="1" applyFill="1" applyBorder="1"/>
    <x:xf numFmtId="0" fontId="3" fillId="5" borderId="5" xfId="0" applyNumberFormat="1" applyFont="1" applyFill="1" applyBorder="1"/>
    <x:xf numFmtId="0" fontId="3" fillId="5" borderId="1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1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0" fillId="5" borderId="18" xfId="0" applyNumberFormat="1" applyFont="1" applyFill="1" applyBorder="1"/>
    <x:xf numFmtId="0" fontId="0" fillId="5" borderId="21" xfId="0" applyNumberFormat="1" applyFont="1" applyFill="1" applyBorder="1"/>
    <x:xf numFmtId="0" fontId="0" fillId="5" borderId="19" xfId="0" applyNumberFormat="1" applyFont="1" applyFill="1" applyBorder="1"/>
    <x:xf numFmtId="0" fontId="0" fillId="5" borderId="22" xfId="0" applyNumberFormat="1" applyFont="1" applyFill="1" applyBorder="1"/>
    <x:xf numFmtId="0" fontId="0" fillId="4" borderId="19" xfId="0" applyNumberFormat="1" applyFont="1" applyFill="1" applyBorder="1"/>
    <x:xf numFmtId="0" fontId="0" fillId="4" borderId="22" xfId="0" applyNumberFormat="1" applyFont="1" applyFill="1" applyBorder="1"/>
    <x:xf numFmtId="201" fontId="0" fillId="6" borderId="20" xfId="0" applyNumberFormat="1" applyFont="1" applyFill="1" applyBorder="1"/>
    <x:xf numFmtId="201" fontId="0" fillId="6" borderId="23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" xfId="0" applyNumberFormat="1" applyFont="1" applyFill="1" applyBorder="1"/>
    <x:xf numFmtId="0" fontId="0" fillId="6" borderId="14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200" fontId="0" fillId="4" borderId="3" xfId="0" applyNumberFormat="1" applyFont="1" applyFill="1" applyBorder="1"/>
    <x:xf numFmtId="200" fontId="0" fillId="4" borderId="0" xfId="0" applyNumberFormat="1" applyFont="1" applyFill="1" applyBorder="1"/>
    <x:xf numFmtId="200" fontId="0" fillId="4" borderId="8" xfId="0" applyNumberFormat="1" applyFont="1" applyFill="1" applyBorder="1"/>
    <x:xf numFmtId="200" fontId="0" fillId="4" borderId="11" xfId="0" applyNumberFormat="1" applyFont="1" applyFill="1" applyBorder="1"/>
    <x:xf numFmtId="200" fontId="0" fillId="4" borderId="1" xfId="0" applyNumberFormat="1" applyFont="1" applyFill="1" applyBorder="1"/>
    <x:xf numFmtId="200" fontId="0" fillId="4" borderId="16" xfId="0" applyNumberFormat="1" applyFont="1" applyFill="1" applyBorder="1"/>
    <x:xf numFmtId="200" fontId="0" fillId="6" borderId="3" xfId="0" applyNumberFormat="1" applyFont="1" applyFill="1" applyBorder="1"/>
    <x:xf numFmtId="200" fontId="0" fillId="6" borderId="0" xfId="0" applyNumberFormat="1" applyFont="1" applyFill="1" applyBorder="1"/>
    <x:xf numFmtId="200" fontId="0" fillId="6" borderId="8" xfId="0" applyNumberFormat="1" applyFont="1" applyFill="1" applyBorder="1"/>
    <x:xf numFmtId="200" fontId="0" fillId="6" borderId="11" xfId="0" applyNumberFormat="1" applyFont="1" applyFill="1" applyBorder="1"/>
    <x:xf numFmtId="200" fontId="0" fillId="6" borderId="1" xfId="0" applyNumberFormat="1" applyFont="1" applyFill="1" applyBorder="1"/>
    <x:xf numFmtId="200" fontId="0" fillId="6" borderId="16" xfId="0" applyNumberFormat="1" applyFont="1" applyFill="1" applyBorder="1"/>
    <x:xf numFmtId="203" fontId="0" fillId="4" borderId="3" xfId="0" applyNumberFormat="1" applyFont="1" applyFill="1" applyBorder="1"/>
    <x:xf numFmtId="203" fontId="0" fillId="4" borderId="0" xfId="0" applyNumberFormat="1" applyFont="1" applyFill="1" applyBorder="1"/>
    <x:xf numFmtId="203" fontId="0" fillId="4" borderId="8" xfId="0" applyNumberFormat="1" applyFont="1" applyFill="1" applyBorder="1"/>
    <x:xf numFmtId="203" fontId="0" fillId="4" borderId="11" xfId="0" applyNumberFormat="1" applyFont="1" applyFill="1" applyBorder="1"/>
    <x:xf numFmtId="203" fontId="0" fillId="4" borderId="1" xfId="0" applyNumberFormat="1" applyFont="1" applyFill="1" applyBorder="1"/>
    <x:xf numFmtId="203" fontId="0" fillId="4" borderId="16" xfId="0" applyNumberFormat="1" applyFont="1" applyFill="1" applyBorder="1"/>
    <x:xf numFmtId="203" fontId="0" fillId="6" borderId="3" xfId="0" applyNumberFormat="1" applyFont="1" applyFill="1" applyBorder="1"/>
    <x:xf numFmtId="203" fontId="0" fillId="6" borderId="0" xfId="0" applyNumberFormat="1" applyFont="1" applyFill="1" applyBorder="1"/>
    <x:xf numFmtId="203" fontId="0" fillId="6" borderId="8" xfId="0" applyNumberFormat="1" applyFont="1" applyFill="1" applyBorder="1"/>
    <x:xf numFmtId="203" fontId="0" fillId="6" borderId="11" xfId="0" applyNumberFormat="1" applyFont="1" applyFill="1" applyBorder="1"/>
    <x:xf numFmtId="203" fontId="0" fillId="6" borderId="1" xfId="0" applyNumberFormat="1" applyFont="1" applyFill="1" applyBorder="1"/>
    <x:xf numFmtId="203" fontId="0" fillId="6" borderId="16" xfId="0" applyNumberFormat="1" applyFont="1" applyFill="1" applyBorder="1"/>
    <x:xf numFmtId="203" fontId="0" fillId="6" borderId="4" xfId="0" applyNumberFormat="1" applyFont="1" applyFill="1" applyBorder="1"/>
    <x:xf numFmtId="203" fontId="0" fillId="6" borderId="6" xfId="0" applyNumberFormat="1" applyFont="1" applyFill="1" applyBorder="1"/>
    <x:xf numFmtId="203" fontId="0" fillId="6" borderId="9" xfId="0" applyNumberFormat="1" applyFont="1" applyFill="1" applyBorder="1"/>
    <x:xf numFmtId="203" fontId="0" fillId="6" borderId="12" xfId="0" applyNumberFormat="1" applyFont="1" applyFill="1" applyBorder="1"/>
    <x:xf numFmtId="203" fontId="0" fillId="6" borderId="14" xfId="0" applyNumberFormat="1" applyFont="1" applyFill="1" applyBorder="1"/>
    <x:xf numFmtId="203" fontId="0" fillId="6" borderId="17" xfId="0" applyNumberFormat="1" applyFont="1" applyFill="1" applyBorder="1"/>
    <x:xf numFmtId="0" fontId="3" fillId="5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3" fillId="5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8" borderId="9" xfId="0" applyNumberFormat="1" applyFont="1" applyFill="1" applyBorder="1"/>
    <x:xf numFmtId="0" fontId="0" fillId="8" borderId="17" xfId="0" applyNumberFormat="1" applyFont="1" applyFill="1" applyBorder="1"/>
    <x:xf numFmtId="203" fontId="0" fillId="4" borderId="6" xfId="0" applyNumberFormat="1" applyFont="1" applyFill="1" applyBorder="1"/>
    <x:xf numFmtId="203" fontId="0" fillId="8" borderId="9" xfId="0" applyNumberFormat="1" applyFont="1" applyFill="1" applyBorder="1"/>
    <x:xf numFmtId="203" fontId="0" fillId="4" borderId="14" xfId="0" applyNumberFormat="1" applyFont="1" applyFill="1" applyBorder="1"/>
    <x:xf numFmtId="203" fontId="0" fillId="8" borderId="17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5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7" xfId="0" applyNumberFormat="1" applyFont="1" applyFill="1" applyBorder="1"/>
    <x:xf numFmtId="201" fontId="0" fillId="4" borderId="19" xfId="0" applyNumberFormat="1" applyFont="1" applyFill="1" applyBorder="1"/>
    <x:xf numFmtId="201" fontId="0" fillId="4" borderId="22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6d6fd42914da7" /><Relationship Type="http://schemas.openxmlformats.org/officeDocument/2006/relationships/theme" Target="/xl/theme/theme1.xml" Id="Rba3c721dc5b34e69" /><Relationship Type="http://schemas.openxmlformats.org/officeDocument/2006/relationships/sharedStrings" Target="/xl/sharedStrings.xml" Id="R87a91a7169b44ce9" /><Relationship Type="http://schemas.openxmlformats.org/officeDocument/2006/relationships/worksheet" Target="/xl/worksheets/sheet1.xml" Id="Ra13a18f4bcee4161" /><Relationship Type="http://schemas.openxmlformats.org/officeDocument/2006/relationships/worksheet" Target="/xl/worksheets/sheet2.xml" Id="Rd9181094a67c43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ad08254eb5e4e0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38200" cy="838200"/>
    <xdr:pic>
      <xdr:nvPicPr>
        <xdr:cNvPr id="1" name="ed8f4001-fd35-4704-89f6-b6beaf4cf7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d08254eb5e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874d165235b4910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15" hidden="0" customWidth="1"/>
    <x:col min="4" max="4" width="48" hidden="0" customWidth="1"/>
  </x:cols>
  <x:sheetData>
    <x:row r="1">
      <x:c r="A1" s="4" t="str">
        <x:v>Nexa Office Supplies Sdn. Bhd. - QUOTATION SETUP</x:v>
      </x:c>
      <x:c r="B1" s="4"/>
      <x:c r="C1" s="4"/>
      <x:c r="D1" s="4"/>
    </x:row>
    <x:row r="2">
      <x:c r="A2"/>
      <x:c r="B2"/>
      <x:c r="C2"/>
      <x:c r="D2"/>
    </x:row>
    <x:row r="3">
      <x:c r="A3" s="35" t="str">
        <x:v>Field</x:v>
      </x:c>
      <x:c r="B3" s="36" t="str">
        <x:v>Value</x:v>
      </x:c>
      <x:c r="C3" s="36" t="str">
        <x:v>Status</x:v>
      </x:c>
      <x:c r="D3" s="37" t="str">
        <x:v>Note</x:v>
      </x:c>
    </x:row>
    <x:row r="4">
      <x:c r="A4" s="38" t="str">
        <x:v>Registered Business Name</x:v>
      </x:c>
      <x:c r="B4" s="39" t="str">
        <x:v>Nexa Office Supplies Sdn. Bhd.</x:v>
      </x:c>
      <x:c r="C4" s="40" t="str">
        <x:v>Confirmed</x:v>
      </x:c>
      <x:c r="D4" s="41" t="str">
        <x:v>SSM</x:v>
      </x:c>
    </x:row>
    <x:row r="5">
      <x:c r="A5" s="38" t="str">
        <x:v>Registration No.</x:v>
      </x:c>
      <x:c r="B5" s="39" t="str">
        <x:v>FIXTURE-000001</x:v>
      </x:c>
      <x:c r="C5" s="40" t="str">
        <x:v>Confirmed</x:v>
      </x:c>
      <x:c r="D5" s="41" t="str">
        <x:v>SSM</x:v>
      </x:c>
    </x:row>
    <x:row r="6">
      <x:c r="A6" s="38" t="str">
        <x:v>LHDN TIN</x:v>
      </x:c>
      <x:c r="B6" s="39" t="str">
        <x:v/>
      </x:c>
      <x:c r="C6" s="40" t="str">
        <x:v>Confirmed</x:v>
      </x:c>
      <x:c r="D6" s="41" t="str">
        <x:v>User supplied</x:v>
      </x:c>
    </x:row>
    <x:row r="7">
      <x:c r="A7" s="38" t="str">
        <x:v>Business Address</x:v>
      </x:c>
      <x:c r="B7" s="39" t="str">
        <x:v>1 Sample Road, Sample City (synthetic fixture)</x:v>
      </x:c>
      <x:c r="C7" s="40" t="str">
        <x:v>Confirmed</x:v>
      </x:c>
      <x:c r="D7" s="41" t="str">
        <x:v>SSM</x:v>
      </x:c>
    </x:row>
    <x:row r="8">
      <x:c r="A8" s="38" t="str">
        <x:v>Business Telephone</x:v>
      </x:c>
      <x:c r="B8" s="39" t="str">
        <x:v>+60 0-000 0000</x:v>
      </x:c>
      <x:c r="C8" s="40" t="str">
        <x:v>Confirmed</x:v>
      </x:c>
      <x:c r="D8" s="41" t="str">
        <x:v>SSM</x:v>
      </x:c>
    </x:row>
    <x:row r="9">
      <x:c r="A9" s="38" t="str">
        <x:v>Business Email</x:v>
      </x:c>
      <x:c r="B9" s="39" t="str">
        <x:v>fixture@nexa.invalid</x:v>
      </x:c>
      <x:c r="C9" s="40" t="str">
        <x:v>Confirmed</x:v>
      </x:c>
      <x:c r="D9" s="41" t="str">
        <x:v>User supplied</x:v>
      </x:c>
    </x:row>
    <x:row r="10">
      <x:c r="A10" s="38" t="str">
        <x:v>Bank Name</x:v>
      </x:c>
      <x:c r="B10" s="39" t="str">
        <x:v>[TO BE ADDED]</x:v>
      </x:c>
      <x:c r="C10" s="40" t="str">
        <x:v>Pending</x:v>
      </x:c>
      <x:c r="D10" s="41" t="str">
        <x:v>Update before payment instructions are published</x:v>
      </x:c>
    </x:row>
    <x:row r="11">
      <x:c r="A11" s="38" t="str">
        <x:v>Bank Account Name</x:v>
      </x:c>
      <x:c r="B11" s="39" t="str">
        <x:v>[TO BE ADDED]</x:v>
      </x:c>
      <x:c r="C11" s="40" t="str">
        <x:v>Pending</x:v>
      </x:c>
      <x:c r="D11" s="41" t="str">
        <x:v>Update before payment instructions are published</x:v>
      </x:c>
    </x:row>
    <x:row r="12">
      <x:c r="A12" s="38" t="str">
        <x:v>Bank Account No.</x:v>
      </x:c>
      <x:c r="B12" s="39" t="str">
        <x:v>[TO BE ADDED]</x:v>
      </x:c>
      <x:c r="C12" s="40" t="str">
        <x:v>Pending</x:v>
      </x:c>
      <x:c r="D12" s="41" t="str">
        <x:v>Update before payment instructions are published</x:v>
      </x:c>
    </x:row>
    <x:row r="13">
      <x:c r="A13" s="38" t="str">
        <x:v>SST Status</x:v>
      </x:c>
      <x:c r="B13" s="39" t="str">
        <x:v>[TO BE CONFIRMED]</x:v>
      </x:c>
      <x:c r="C13" s="40" t="str">
        <x:v>Pending</x:v>
      </x:c>
      <x:c r="D13" s="41" t="str">
        <x:v>Do not charge SST unless applicable</x:v>
      </x:c>
    </x:row>
    <x:row r="14">
      <x:c r="A14" s="38" t="str">
        <x:v>SST Registration No.</x:v>
      </x:c>
      <x:c r="B14" s="39" t="str">
        <x:v>[IF APPLICABLE]</x:v>
      </x:c>
      <x:c r="C14" s="40" t="str">
        <x:v>Pending</x:v>
      </x:c>
      <x:c r="D14" s="41" t="str">
        <x:v>Leave blank if not applicable</x:v>
      </x:c>
    </x:row>
    <x:row r="15">
      <x:c r="A15" s="38" t="str">
        <x:v>Default Tax Rate</x:v>
      </x:c>
      <x:c r="B15" s="57" t="n">
        <x:v>0</x:v>
      </x:c>
      <x:c r="C15" s="40" t="str">
        <x:v>Working</x:v>
      </x:c>
      <x:c r="D15" s="41" t="str">
        <x:v>0% until tax applicability is confirmed</x:v>
      </x:c>
    </x:row>
    <x:row r="16">
      <x:c r="A16" s="38" t="str">
        <x:v>Default Payment Terms (Days)</x:v>
      </x:c>
      <x:c r="B16" s="39" t="n">
        <x:v>30</x:v>
      </x:c>
      <x:c r="C16" s="40" t="str">
        <x:v>Working</x:v>
      </x:c>
      <x:c r="D16" s="41" t="str">
        <x:v>Editable</x:v>
      </x:c>
    </x:row>
    <x:row r="17">
      <x:c r="A17" s="38" t="str">
        <x:v>Default Quotation Validity (Days)</x:v>
      </x:c>
      <x:c r="B17" s="39" t="n">
        <x:v>30</x:v>
      </x:c>
      <x:c r="C17" s="40" t="str">
        <x:v>Working</x:v>
      </x:c>
      <x:c r="D17" s="41" t="str">
        <x:v>Editable</x:v>
      </x:c>
    </x:row>
    <x:row r="18">
      <x:c r="A18" s="42" t="str">
        <x:v>Document Prefix</x:v>
      </x:c>
      <x:c r="B18" s="43" t="str">
        <x:v>NEX-QT</x:v>
      </x:c>
      <x:c r="C18" s="44" t="str">
        <x:v>Controlled</x:v>
      </x:c>
      <x:c r="D18" s="45" t="str">
        <x:v>NEX-[TYPE]-YYYY-####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" hidden="0" customWidth="1"/>
    <x:col min="4" max="4" width="10" hidden="0" customWidth="1"/>
    <x:col min="5" max="5" width="15" hidden="0" customWidth="1"/>
    <x:col min="6" max="6" width="10" hidden="0" customWidth="1"/>
    <x:col min="7" max="7" width="15" hidden="0" customWidth="1"/>
    <x:col min="8" max="8" width="10" hidden="0" customWidth="1"/>
    <x:col min="9" max="9" width="14" hidden="0" customWidth="1"/>
    <x:col min="10" max="10" width="16" hidden="0" customWidth="1"/>
  </x:cols>
  <x:sheetData>
    <x:row r="1">
      <x:c r="B1" s="63" t="str">
        <x:f>Setup!B4</x:f>
        <x:v>Nexa Office Supplies Sdn. Bhd.</x:v>
      </x:c>
      <x:c r="C1" s="63"/>
      <x:c r="D1" s="63"/>
      <x:c r="E1" s="63"/>
      <x:c r="F1" s="63"/>
      <x:c r="G1" s="63"/>
      <x:c r="H1" s="69" t="str">
        <x:v>QUOTATION</x:v>
      </x:c>
      <x:c r="I1" s="69"/>
      <x:c r="J1" s="69"/>
    </x:row>
    <x:row r="2">
      <x:c r="B2" s="64" t="str">
        <x:f>"Reg. No.: "&amp;Setup!B5&amp;"  |  TIN: "&amp;Setup!B6</x:f>
        <x:v>Reg. No.: FIXTURE-000001  |  TIN: </x:v>
      </x:c>
      <x:c r="C2" s="64"/>
      <x:c r="D2" s="64"/>
      <x:c r="E2" s="64"/>
      <x:c r="F2" s="64"/>
      <x:c r="G2" s="64"/>
      <x:c r="H2" s="69"/>
      <x:c r="I2" s="69"/>
      <x:c r="J2" s="69"/>
    </x:row>
    <x:row r="3">
      <x:c r="B3" s="64" t="str">
        <x:f>Setup!B7</x:f>
        <x:v>1 Sample Road, Sample City (synthetic fixture)</x:v>
      </x:c>
      <x:c r="C3" s="64"/>
      <x:c r="D3" s="64"/>
      <x:c r="E3" s="64"/>
      <x:c r="F3" s="64"/>
      <x:c r="G3" s="64"/>
      <x:c r="H3" s="75" t="str">
        <x:v>Quotation No.</x:v>
      </x:c>
      <x:c r="I3" s="76"/>
      <x:c r="J3" s="85" t="str">
        <x:v>NEX-QT-2026-0001</x:v>
      </x:c>
    </x:row>
    <x:row r="4">
      <x:c r="B4" s="64" t="str">
        <x:f>Setup!B9&amp;"  |  "&amp;Setup!B8</x:f>
        <x:v>fixture@nexa.invalid  |  +60 0-000 0000</x:v>
      </x:c>
      <x:c r="C4" s="64"/>
      <x:c r="D4" s="64"/>
      <x:c r="E4" s="64"/>
      <x:c r="F4" s="64"/>
      <x:c r="G4" s="64"/>
      <x:c r="H4" s="78" t="str">
        <x:v>Date</x:v>
      </x:c>
      <x:c r="I4" s="79"/>
      <x:c r="J4" s="89" t="n">
        <x:f>TODAY()</x:f>
        <x:v>46246</x:v>
      </x:c>
    </x:row>
    <x:row r="5">
      <x:c r="H5" s="91" t="str">
        <x:v>Validity (Days)</x:v>
      </x:c>
      <x:c r="I5" s="92"/>
      <x:c r="J5" s="101" t="n">
        <x:f>Setup!B17</x:f>
        <x:v>30</x:v>
      </x:c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>
      <x:c r="A8" s="107" t="str">
        <x:v>CUSTOMER / QUOTATION TO</x:v>
      </x:c>
      <x:c r="B8" s="108"/>
      <x:c r="C8" s="108"/>
      <x:c r="D8" s="108"/>
      <x:c r="E8" s="108"/>
      <x:c r="F8" s="108"/>
      <x:c r="G8" s="108"/>
      <x:c r="H8" s="108"/>
      <x:c r="I8" s="108"/>
      <x:c r="J8" s="109"/>
    </x:row>
    <x:row r="9">
      <x:c r="A9" s="75" t="str">
        <x:v>Customer / Company</x:v>
      </x:c>
      <x:c r="B9" s="127"/>
      <x:c r="C9" s="127"/>
      <x:c r="D9" s="127"/>
      <x:c r="E9" s="127"/>
      <x:c r="F9" s="127"/>
      <x:c r="G9" s="76" t="str">
        <x:v>Customer TIN</x:v>
      </x:c>
      <x:c r="H9" s="76"/>
      <x:c r="I9" s="127"/>
      <x:c r="J9" s="85"/>
    </x:row>
    <x:row r="10">
      <x:c r="A10" s="131" t="str">
        <x:v>Attention</x:v>
      </x:c>
      <x:c r="B10" s="31"/>
      <x:c r="C10" s="31"/>
      <x:c r="D10" s="31"/>
      <x:c r="E10" s="31"/>
      <x:c r="F10" s="31"/>
      <x:c r="G10" s="73" t="str">
        <x:v>Registration / ID</x:v>
      </x:c>
      <x:c r="H10" s="73"/>
      <x:c r="I10" s="31"/>
      <x:c r="J10" s="129"/>
    </x:row>
    <x:row r="11">
      <x:c r="A11" s="131" t="str">
        <x:v>Address</x:v>
      </x:c>
      <x:c r="B11" s="31"/>
      <x:c r="C11" s="31"/>
      <x:c r="D11" s="31"/>
      <x:c r="E11" s="31"/>
      <x:c r="F11" s="31"/>
      <x:c r="G11" s="73" t="str">
        <x:v>Email</x:v>
      </x:c>
      <x:c r="H11" s="73"/>
      <x:c r="I11" s="31"/>
      <x:c r="J11" s="129"/>
    </x:row>
    <x:row r="12">
      <x:c r="A12" s="78"/>
      <x:c r="B12" s="32"/>
      <x:c r="C12" s="32"/>
      <x:c r="D12" s="32"/>
      <x:c r="E12" s="32"/>
      <x:c r="F12" s="32"/>
      <x:c r="G12" s="79" t="str">
        <x:v>Phone</x:v>
      </x:c>
      <x:c r="H12" s="79"/>
      <x:c r="I12" s="32"/>
      <x:c r="J12" s="86"/>
    </x:row>
    <x:row r="14">
      <x:c r="A14" s="107" t="str">
        <x:v>REFERENCE INFORMATION</x:v>
      </x:c>
      <x:c r="B14" s="108"/>
      <x:c r="C14" s="108"/>
      <x:c r="D14" s="108"/>
      <x:c r="E14" s="108"/>
      <x:c r="F14" s="108"/>
      <x:c r="G14" s="108"/>
      <x:c r="H14" s="108"/>
      <x:c r="I14" s="108"/>
      <x:c r="J14" s="109"/>
    </x:row>
    <x:row r="15">
      <x:c r="A15" s="91" t="str">
        <x:v>Customer RFQ / Ref.</x:v>
      </x:c>
      <x:c r="B15" s="145"/>
      <x:c r="C15" s="145"/>
      <x:c r="D15" s="145"/>
      <x:c r="E15" s="92" t="str">
        <x:v>Prepared By</x:v>
      </x:c>
      <x:c r="F15" s="145"/>
      <x:c r="G15" s="145"/>
      <x:c r="H15" s="92" t="str">
        <x:v>Valid Until</x:v>
      </x:c>
      <x:c r="I15" s="92"/>
      <x:c r="J15" s="147" t="n">
        <x:f>J4+J5</x:f>
        <x:v>46276</x:v>
      </x:c>
    </x:row>
    <x:row r="17">
      <x:c r="A17" s="151" t="str">
        <x:v>No.</x:v>
      </x:c>
      <x:c r="B17" s="152" t="str">
        <x:v>Item / Description</x:v>
      </x:c>
      <x:c r="C17" s="152" t="str">
        <x:v>Qty</x:v>
      </x:c>
      <x:c r="D17" s="152" t="str">
        <x:v>Unit</x:v>
      </x:c>
      <x:c r="E17" s="152" t="str">
        <x:v>Unit Price (RM)</x:v>
      </x:c>
      <x:c r="F17" s="152" t="str">
        <x:v>Disc. %</x:v>
      </x:c>
      <x:c r="G17" s="152" t="str">
        <x:v>Subtotal (RM)</x:v>
      </x:c>
      <x:c r="H17" s="152" t="str">
        <x:v>Tax %</x:v>
      </x:c>
      <x:c r="I17" s="152" t="str">
        <x:v>Tax (RM)</x:v>
      </x:c>
      <x:c r="J17" s="153" t="str">
        <x:v>Line Total (RM)</x:v>
      </x:c>
    </x:row>
    <x:row r="18">
      <x:c r="A18" s="157" t="n">
        <x:v>1</x:v>
      </x:c>
      <x:c r="B18" s="127"/>
      <x:c r="C18" s="127"/>
      <x:c r="D18" s="127"/>
      <x:c r="E18" s="187"/>
      <x:c r="F18" s="175" t="n">
        <x:v>0</x:v>
      </x:c>
      <x:c r="G18" s="193" t="str">
        <x:f>IF(OR(B18="",C18="",E18=""),"",C18*E18*(1-F18))</x:f>
      </x:c>
      <x:c r="H18" s="181" t="n">
        <x:f>Setup!B15</x:f>
        <x:v>0</x:v>
      </x:c>
      <x:c r="I18" s="193" t="str">
        <x:f>IF(G18="","",G18*H18)</x:f>
      </x:c>
      <x:c r="J18" s="199" t="str">
        <x:f>IF(G18="","",G18+I18)</x:f>
      </x:c>
    </x:row>
    <x:row r="19">
      <x:c r="A19" s="158" t="n">
        <x:v>2</x:v>
      </x:c>
      <x:c r="B19" s="31"/>
      <x:c r="C19" s="31"/>
      <x:c r="D19" s="31"/>
      <x:c r="E19" s="188"/>
      <x:c r="F19" s="176" t="n">
        <x:v>0</x:v>
      </x:c>
      <x:c r="G19" s="194" t="str">
        <x:f>IF(OR(B19="",C19="",E19=""),"",C19*E19*(1-F19))</x:f>
      </x:c>
      <x:c r="H19" s="182" t="n">
        <x:f>Setup!B15</x:f>
        <x:v>0</x:v>
      </x:c>
      <x:c r="I19" s="194" t="str">
        <x:f>IF(G19="","",G19*H19)</x:f>
      </x:c>
      <x:c r="J19" s="200" t="str">
        <x:f>IF(G19="","",G19+I19)</x:f>
      </x:c>
    </x:row>
    <x:row r="20">
      <x:c r="A20" s="158" t="n">
        <x:v>3</x:v>
      </x:c>
      <x:c r="B20" s="31"/>
      <x:c r="C20" s="31"/>
      <x:c r="D20" s="31"/>
      <x:c r="E20" s="188"/>
      <x:c r="F20" s="176" t="n">
        <x:v>0</x:v>
      </x:c>
      <x:c r="G20" s="194" t="str">
        <x:f>IF(OR(B20="",C20="",E20=""),"",C20*E20*(1-F20))</x:f>
      </x:c>
      <x:c r="H20" s="182" t="n">
        <x:f>Setup!B15</x:f>
        <x:v>0</x:v>
      </x:c>
      <x:c r="I20" s="194" t="str">
        <x:f>IF(G20="","",G20*H20)</x:f>
      </x:c>
      <x:c r="J20" s="200" t="str">
        <x:f>IF(G20="","",G20+I20)</x:f>
      </x:c>
    </x:row>
    <x:row r="21">
      <x:c r="A21" s="158" t="n">
        <x:v>4</x:v>
      </x:c>
      <x:c r="B21" s="31"/>
      <x:c r="C21" s="31"/>
      <x:c r="D21" s="31"/>
      <x:c r="E21" s="188"/>
      <x:c r="F21" s="176" t="n">
        <x:v>0</x:v>
      </x:c>
      <x:c r="G21" s="194" t="str">
        <x:f>IF(OR(B21="",C21="",E21=""),"",C21*E21*(1-F21))</x:f>
      </x:c>
      <x:c r="H21" s="182" t="n">
        <x:f>Setup!B15</x:f>
        <x:v>0</x:v>
      </x:c>
      <x:c r="I21" s="194" t="str">
        <x:f>IF(G21="","",G21*H21)</x:f>
      </x:c>
      <x:c r="J21" s="200" t="str">
        <x:f>IF(G21="","",G21+I21)</x:f>
      </x:c>
    </x:row>
    <x:row r="22">
      <x:c r="A22" s="158" t="n">
        <x:v>5</x:v>
      </x:c>
      <x:c r="B22" s="31"/>
      <x:c r="C22" s="31"/>
      <x:c r="D22" s="31"/>
      <x:c r="E22" s="188"/>
      <x:c r="F22" s="176" t="n">
        <x:v>0</x:v>
      </x:c>
      <x:c r="G22" s="194" t="str">
        <x:f>IF(OR(B22="",C22="",E22=""),"",C22*E22*(1-F22))</x:f>
      </x:c>
      <x:c r="H22" s="182" t="n">
        <x:f>Setup!B15</x:f>
        <x:v>0</x:v>
      </x:c>
      <x:c r="I22" s="194" t="str">
        <x:f>IF(G22="","",G22*H22)</x:f>
      </x:c>
      <x:c r="J22" s="200" t="str">
        <x:f>IF(G22="","",G22+I22)</x:f>
      </x:c>
    </x:row>
    <x:row r="23">
      <x:c r="A23" s="158" t="n">
        <x:v>6</x:v>
      </x:c>
      <x:c r="B23" s="31"/>
      <x:c r="C23" s="31"/>
      <x:c r="D23" s="31"/>
      <x:c r="E23" s="188"/>
      <x:c r="F23" s="176" t="n">
        <x:v>0</x:v>
      </x:c>
      <x:c r="G23" s="194" t="str">
        <x:f>IF(OR(B23="",C23="",E23=""),"",C23*E23*(1-F23))</x:f>
      </x:c>
      <x:c r="H23" s="182" t="n">
        <x:f>Setup!B15</x:f>
        <x:v>0</x:v>
      </x:c>
      <x:c r="I23" s="194" t="str">
        <x:f>IF(G23="","",G23*H23)</x:f>
      </x:c>
      <x:c r="J23" s="200" t="str">
        <x:f>IF(G23="","",G23+I23)</x:f>
      </x:c>
    </x:row>
    <x:row r="24">
      <x:c r="A24" s="158" t="n">
        <x:v>7</x:v>
      </x:c>
      <x:c r="B24" s="31"/>
      <x:c r="C24" s="31"/>
      <x:c r="D24" s="31"/>
      <x:c r="E24" s="188"/>
      <x:c r="F24" s="176" t="n">
        <x:v>0</x:v>
      </x:c>
      <x:c r="G24" s="194" t="str">
        <x:f>IF(OR(B24="",C24="",E24=""),"",C24*E24*(1-F24))</x:f>
      </x:c>
      <x:c r="H24" s="182" t="n">
        <x:f>Setup!B15</x:f>
        <x:v>0</x:v>
      </x:c>
      <x:c r="I24" s="194" t="str">
        <x:f>IF(G24="","",G24*H24)</x:f>
      </x:c>
      <x:c r="J24" s="200" t="str">
        <x:f>IF(G24="","",G24+I24)</x:f>
      </x:c>
    </x:row>
    <x:row r="25">
      <x:c r="A25" s="158" t="n">
        <x:v>8</x:v>
      </x:c>
      <x:c r="B25" s="31"/>
      <x:c r="C25" s="31"/>
      <x:c r="D25" s="31"/>
      <x:c r="E25" s="188"/>
      <x:c r="F25" s="176" t="n">
        <x:v>0</x:v>
      </x:c>
      <x:c r="G25" s="194" t="str">
        <x:f>IF(OR(B25="",C25="",E25=""),"",C25*E25*(1-F25))</x:f>
      </x:c>
      <x:c r="H25" s="182" t="n">
        <x:f>Setup!B15</x:f>
        <x:v>0</x:v>
      </x:c>
      <x:c r="I25" s="194" t="str">
        <x:f>IF(G25="","",G25*H25)</x:f>
      </x:c>
      <x:c r="J25" s="200" t="str">
        <x:f>IF(G25="","",G25+I25)</x:f>
      </x:c>
    </x:row>
    <x:row r="26">
      <x:c r="A26" s="158" t="n">
        <x:v>9</x:v>
      </x:c>
      <x:c r="B26" s="31"/>
      <x:c r="C26" s="31"/>
      <x:c r="D26" s="31"/>
      <x:c r="E26" s="188"/>
      <x:c r="F26" s="176" t="n">
        <x:v>0</x:v>
      </x:c>
      <x:c r="G26" s="194" t="str">
        <x:f>IF(OR(B26="",C26="",E26=""),"",C26*E26*(1-F26))</x:f>
      </x:c>
      <x:c r="H26" s="182" t="n">
        <x:f>Setup!B15</x:f>
        <x:v>0</x:v>
      </x:c>
      <x:c r="I26" s="194" t="str">
        <x:f>IF(G26="","",G26*H26)</x:f>
      </x:c>
      <x:c r="J26" s="200" t="str">
        <x:f>IF(G26="","",G26+I26)</x:f>
      </x:c>
    </x:row>
    <x:row r="27">
      <x:c r="A27" s="158" t="n">
        <x:v>10</x:v>
      </x:c>
      <x:c r="B27" s="31"/>
      <x:c r="C27" s="31"/>
      <x:c r="D27" s="31"/>
      <x:c r="E27" s="188"/>
      <x:c r="F27" s="176" t="n">
        <x:v>0</x:v>
      </x:c>
      <x:c r="G27" s="194" t="str">
        <x:f>IF(OR(B27="",C27="",E27=""),"",C27*E27*(1-F27))</x:f>
      </x:c>
      <x:c r="H27" s="182" t="n">
        <x:f>Setup!B15</x:f>
        <x:v>0</x:v>
      </x:c>
      <x:c r="I27" s="194" t="str">
        <x:f>IF(G27="","",G27*H27)</x:f>
      </x:c>
      <x:c r="J27" s="200" t="str">
        <x:f>IF(G27="","",G27+I27)</x:f>
      </x:c>
    </x:row>
    <x:row r="28">
      <x:c r="A28" s="158" t="n">
        <x:v>11</x:v>
      </x:c>
      <x:c r="B28" s="31"/>
      <x:c r="C28" s="31"/>
      <x:c r="D28" s="31"/>
      <x:c r="E28" s="188"/>
      <x:c r="F28" s="176" t="n">
        <x:v>0</x:v>
      </x:c>
      <x:c r="G28" s="194" t="str">
        <x:f>IF(OR(B28="",C28="",E28=""),"",C28*E28*(1-F28))</x:f>
      </x:c>
      <x:c r="H28" s="182" t="n">
        <x:f>Setup!B15</x:f>
        <x:v>0</x:v>
      </x:c>
      <x:c r="I28" s="194" t="str">
        <x:f>IF(G28="","",G28*H28)</x:f>
      </x:c>
      <x:c r="J28" s="200" t="str">
        <x:f>IF(G28="","",G28+I28)</x:f>
      </x:c>
    </x:row>
    <x:row r="29">
      <x:c r="A29" s="159" t="n">
        <x:v>12</x:v>
      </x:c>
      <x:c r="B29" s="32"/>
      <x:c r="C29" s="32"/>
      <x:c r="D29" s="32"/>
      <x:c r="E29" s="189"/>
      <x:c r="F29" s="177" t="n">
        <x:v>0</x:v>
      </x:c>
      <x:c r="G29" s="195" t="str">
        <x:f>IF(OR(B29="",C29="",E29=""),"",C29*E29*(1-F29))</x:f>
      </x:c>
      <x:c r="H29" s="183" t="n">
        <x:f>Setup!B15</x:f>
        <x:v>0</x:v>
      </x:c>
      <x:c r="I29" s="195" t="str">
        <x:f>IF(G29="","",G29*H29)</x:f>
      </x:c>
      <x:c r="J29" s="201" t="str">
        <x:f>IF(G29="","",G29+I29)</x:f>
      </x:c>
    </x:row>
    <x:row r="31">
      <x:c r="A31" s="75" t="str">
        <x:v>Notes / Special Instructions</x:v>
      </x:c>
      <x:c r="B31" s="76"/>
      <x:c r="C31" s="76"/>
      <x:c r="D31" s="76"/>
      <x:c r="E31" s="76"/>
      <x:c r="F31" s="205"/>
      <x:c r="G31" s="75" t="str">
        <x:v>Subtotal</x:v>
      </x:c>
      <x:c r="H31" s="76"/>
      <x:c r="I31" s="76"/>
      <x:c r="J31" s="199" t="n">
        <x:f>SUM(G18:G29)</x:f>
        <x:v>0</x:v>
      </x:c>
    </x:row>
    <x:row r="32">
      <x:c r="A32" s="206"/>
      <x:c r="B32" s="31"/>
      <x:c r="C32" s="31"/>
      <x:c r="D32" s="31"/>
      <x:c r="E32" s="31"/>
      <x:c r="F32" s="129"/>
      <x:c r="G32" s="131" t="str">
        <x:v>Tax</x:v>
      </x:c>
      <x:c r="H32" s="73"/>
      <x:c r="I32" s="73"/>
      <x:c r="J32" s="200" t="n">
        <x:f>SUM(I18:I29)</x:f>
        <x:v>0</x:v>
      </x:c>
    </x:row>
    <x:row r="33">
      <x:c r="A33" s="206"/>
      <x:c r="B33" s="31"/>
      <x:c r="C33" s="31"/>
      <x:c r="D33" s="31"/>
      <x:c r="E33" s="31"/>
      <x:c r="F33" s="129"/>
      <x:c r="G33" s="131" t="str">
        <x:v>Other Charges</x:v>
      </x:c>
      <x:c r="H33" s="73"/>
      <x:c r="I33" s="73"/>
      <x:c r="J33" s="213" t="n">
        <x:v>0</x:v>
      </x:c>
    </x:row>
    <x:row r="34">
      <x:c r="A34" s="206"/>
      <x:c r="B34" s="31"/>
      <x:c r="C34" s="31"/>
      <x:c r="D34" s="31"/>
      <x:c r="E34" s="31"/>
      <x:c r="F34" s="129"/>
      <x:c r="G34" s="131" t="str">
        <x:v>Additional Discount</x:v>
      </x:c>
      <x:c r="H34" s="73"/>
      <x:c r="I34" s="73"/>
      <x:c r="J34" s="213" t="n">
        <x:v>0</x:v>
      </x:c>
    </x:row>
    <x:row r="35">
      <x:c r="A35" s="206"/>
      <x:c r="B35" s="31"/>
      <x:c r="C35" s="31"/>
      <x:c r="D35" s="31"/>
      <x:c r="E35" s="31"/>
      <x:c r="F35" s="129"/>
      <x:c r="G35" s="78" t="str">
        <x:v>Grand Total</x:v>
      </x:c>
      <x:c r="H35" s="79"/>
      <x:c r="I35" s="79"/>
      <x:c r="J35" s="214" t="n">
        <x:f>J31+J32+J33-J34</x:f>
        <x:v>0</x:v>
      </x:c>
    </x:row>
    <x:row r="36">
      <x:c r="A36" s="207"/>
      <x:c r="B36" s="32"/>
      <x:c r="C36" s="32"/>
      <x:c r="D36" s="32"/>
      <x:c r="E36" s="32"/>
      <x:c r="F36" s="86"/>
    </x:row>
    <x:row r="37">
      <x:c r="A37" s="107" t="str">
        <x:v>PAYMENT / TERMS</x:v>
      </x:c>
      <x:c r="B37" s="108"/>
      <x:c r="C37" s="108"/>
      <x:c r="D37" s="108"/>
      <x:c r="E37" s="108"/>
      <x:c r="F37" s="108"/>
      <x:c r="G37" s="108"/>
      <x:c r="H37" s="108"/>
      <x:c r="I37" s="108"/>
      <x:c r="J37" s="109"/>
    </x:row>
    <x:row r="38">
      <x:c r="A38" s="75" t="str">
        <x:v>Payment Terms</x:v>
      </x:c>
      <x:c r="B38" s="163" t="str">
        <x:f>Setup!B16&amp;" days"</x:f>
        <x:v>30 days</x:v>
      </x:c>
      <x:c r="C38" s="163"/>
      <x:c r="D38" s="163"/>
      <x:c r="E38" s="76" t="str">
        <x:v>Currency</x:v>
      </x:c>
      <x:c r="F38" s="163" t="str">
        <x:v>MYR</x:v>
      </x:c>
      <x:c r="G38" s="76" t="str">
        <x:v>Status</x:v>
      </x:c>
      <x:c r="H38" s="76"/>
      <x:c r="I38" s="127"/>
      <x:c r="J38" s="85"/>
    </x:row>
    <x:row r="39">
      <x:c r="A39" s="131" t="str">
        <x:v>Bank</x:v>
      </x:c>
      <x:c r="B39" s="165" t="str">
        <x:f>Setup!B10</x:f>
        <x:v>[TO BE ADDED]</x:v>
      </x:c>
      <x:c r="C39" s="165"/>
      <x:c r="D39" s="165"/>
      <x:c r="E39" s="73" t="str">
        <x:v>Account Name</x:v>
      </x:c>
      <x:c r="F39" s="165" t="str">
        <x:f>Setup!B11</x:f>
        <x:v>[TO BE ADDED]</x:v>
      </x:c>
      <x:c r="G39" s="165"/>
      <x:c r="H39" s="73" t="str">
        <x:v>Account No.</x:v>
      </x:c>
      <x:c r="I39" s="165" t="str">
        <x:f>Setup!B12</x:f>
        <x:v>[TO BE ADDED]</x:v>
      </x:c>
      <x:c r="J39" s="166"/>
    </x:row>
    <x:row r="40">
      <x:c r="A40" s="223" t="str">
        <x:v>Please quote the relevant document number when making payment or correspondence. Tax fields are provided for readiness; apply tax only when legally applicable.</x:v>
      </x:c>
      <x:c r="B40" s="224"/>
      <x:c r="C40" s="224"/>
      <x:c r="D40" s="224"/>
      <x:c r="E40" s="224"/>
      <x:c r="F40" s="224"/>
      <x:c r="G40" s="224"/>
      <x:c r="H40" s="224"/>
      <x:c r="I40" s="224"/>
      <x:c r="J40" s="225"/>
    </x:row>
    <x:row r="42">
      <x:c r="A42" s="107" t="str">
        <x:v>CUSTOMER ACCEPTANCE (OPTIONAL)</x:v>
      </x:c>
      <x:c r="B42" s="108"/>
      <x:c r="C42" s="108"/>
      <x:c r="D42" s="108"/>
      <x:c r="E42" s="108"/>
      <x:c r="F42" s="108"/>
      <x:c r="G42" s="108"/>
      <x:c r="H42" s="108"/>
      <x:c r="I42" s="108"/>
      <x:c r="J42" s="109"/>
    </x:row>
    <x:row r="43">
      <x:c r="A43" s="91" t="str">
        <x:v>Accepted By</x:v>
      </x:c>
      <x:c r="B43" s="145"/>
      <x:c r="C43" s="145"/>
      <x:c r="D43" s="145"/>
      <x:c r="E43" s="92" t="str">
        <x:v>Designation</x:v>
      </x:c>
      <x:c r="F43" s="145"/>
      <x:c r="G43" s="145"/>
      <x:c r="H43" s="92" t="str">
        <x:v>Date</x:v>
      </x:c>
      <x:c r="I43" s="229"/>
      <x:c r="J43" s="97"/>
    </x:row>
    <x:row r="46" ht="20" customHeight="1">
      <x:c r="A46" s="233" t="str">
        <x:f>Setup!B4&amp;"  |  Reg. No.: "&amp;Setup!B5&amp;"  |  TIN: "&amp;Setup!B6</x:f>
        <x:v>Nexa Office Supplies Sdn. Bhd.  |  Reg. No.: FIXTURE-000001  |  TIN: </x:v>
      </x:c>
      <x:c r="B46" s="233"/>
      <x:c r="C46" s="233"/>
      <x:c r="D46" s="233"/>
      <x:c r="E46" s="233"/>
      <x:c r="F46" s="233"/>
      <x:c r="G46" s="233"/>
      <x:c r="H46" s="233"/>
      <x:c r="I46" s="233"/>
      <x:c r="J46" s="233"/>
    </x:row>
  </x:sheetData>
  <x:mergeCells>
    <x:mergeCell ref="B1:G1"/>
    <x:mergeCell ref="B2:G2"/>
    <x:mergeCell ref="B3:G3"/>
    <x:mergeCell ref="B4:G4"/>
    <x:mergeCell ref="H1:J2"/>
    <x:mergeCell ref="H3:I3"/>
    <x:mergeCell ref="H4:I4"/>
    <x:mergeCell ref="H5:I5"/>
    <x:mergeCell ref="A6:J6"/>
    <x:mergeCell ref="A8:J8"/>
    <x:mergeCell ref="B9:F9"/>
    <x:mergeCell ref="B10:F10"/>
    <x:mergeCell ref="B11:F12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A14:J14"/>
    <x:mergeCell ref="B15:D15"/>
    <x:mergeCell ref="F15:G15"/>
    <x:mergeCell ref="H15:I15"/>
    <x:mergeCell ref="A31:F31"/>
    <x:mergeCell ref="A32:F36"/>
    <x:mergeCell ref="G31:I31"/>
    <x:mergeCell ref="G32:I32"/>
    <x:mergeCell ref="G33:I33"/>
    <x:mergeCell ref="G34:I34"/>
    <x:mergeCell ref="G35:I35"/>
    <x:mergeCell ref="A37:J37"/>
    <x:mergeCell ref="B38:D38"/>
    <x:mergeCell ref="G38:H38"/>
    <x:mergeCell ref="I38:J38"/>
    <x:mergeCell ref="B39:D39"/>
    <x:mergeCell ref="F39:G39"/>
    <x:mergeCell ref="I39:J39"/>
    <x:mergeCell ref="A40:J40"/>
    <x:mergeCell ref="A42:J42"/>
    <x:mergeCell ref="B43:D43"/>
    <x:mergeCell ref="F43:G43"/>
    <x:mergeCell ref="I43:J43"/>
    <x:mergeCell ref="A46:J46"/>
  </x:mergeCells>
  <x:dataValidations count="2">
    <x:dataValidation type="list" sqref="D18:D29">
      <x:formula1>"unit,pcs,set,lot,box,pack,license,month,hour,day,service"</x:formula1>
    </x:dataValidation>
    <x:dataValidation type="list" sqref="I38">
      <x:formula1>"Draft,Issued,Accepted,Partially Paid,Paid,Cancelled,Void"</x:formula1>
    </x:dataValidation>
  </x:dataValidations>
  <x:pageMargins left="0.7" right="0.7" top="0.75" bottom="0.75" header="0.3" footer="0.3"/>
  <x:drawing xmlns:r="http://schemas.openxmlformats.org/officeDocument/2006/relationships" r:id="R0874d165235b4910"/>
</x:worksheet>
</file>

<file path=docProps/fixture-note.txt>fixture:NEX-QT-2026-0099_R0_Orphan.xlsx
</file>
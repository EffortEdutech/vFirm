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3c7bc97bd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4f48d8aaac894693"/>
    <x:sheet xmlns:r="http://schemas.openxmlformats.org/officeDocument/2006/relationships" name="Form" sheetId="2" r:id="R3c437ac9253e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&quot;RM&quot; #,##0.00"/>
    <x:numFmt numFmtId="202" formatCode="0%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8"/>
      <x:color rgb="FFFFFFFF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8"/>
      <x:color rgb="FF102A4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E9EEF3"/>
      </x:patternFill>
    </x:fill>
    <x:fill>
      <x:patternFill patternType="solid">
        <x:fgColor rgb="FFFFF7D6"/>
      </x:patternFill>
    </x:fill>
    <x:fill>
      <x:patternFill patternType="solid">
        <x:fgColor rgb="FF17385A"/>
      </x:patternFill>
    </x:fill>
    <x:fill>
      <x:patternFill patternType="solid">
        <x:fgColor rgb="FFEDF4FA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8" xfId="0" applyNumberFormat="1" applyFont="1" applyFill="1" applyBorder="1"/>
    <x:xf numFmtId="0" fontId="0" fillId="4" borderId="11" xfId="0" applyNumberFormat="1" applyFont="1" applyFill="1" applyBorder="1"/>
    <x:xf numFmtId="0" fontId="0" fillId="4" borderId="13" xfId="0" applyNumberFormat="1" applyFont="1" applyFill="1" applyBorder="1"/>
    <x:xf numFmtId="0" fontId="0" fillId="4" borderId="16" xfId="0" applyNumberFormat="1" applyFont="1" applyFill="1" applyBorder="1"/>
    <x:xf numFmtId="0" fontId="0" fillId="4" borderId="19" xfId="0" applyNumberFormat="1" applyFont="1" applyFill="1" applyBorder="1"/>
    <x:xf numFmtId="0" fontId="0" fillId="4" borderId="21" xfId="0" applyNumberFormat="1" applyFont="1" applyFill="1" applyBorder="1"/>
    <x:xf numFmtId="0" fontId="0" fillId="5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14" xfId="0" applyNumberFormat="1" applyFont="1" applyFill="1" applyBorder="1"/>
    <x:xf numFmtId="0" fontId="0" fillId="5" borderId="17" xfId="0" applyNumberFormat="1" applyFont="1" applyFill="1" applyBorder="1"/>
    <x:xf numFmtId="0" fontId="0" fillId="5" borderId="1" xfId="0" applyNumberFormat="1" applyFont="1" applyFill="1" applyBorder="1"/>
    <x:xf numFmtId="0" fontId="0" fillId="5" borderId="22" xfId="0" applyNumberFormat="1" applyFont="1" applyFill="1" applyBorder="1"/>
    <x:xf numFmtId="0" fontId="0" fillId="4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0" fillId="5" borderId="3" xfId="0" applyNumberFormat="1" applyFont="1" applyFill="1" applyBorder="1"/>
    <x:xf numFmtId="0" fontId="7" fillId="4" borderId="3" xfId="0" applyNumberFormat="1" applyFont="1" applyFill="1" applyBorder="1"/>
    <x:xf numFmtId="0" fontId="0" fillId="5" borderId="4" xfId="0" applyNumberFormat="1" applyFont="1" applyFill="1" applyBorder="1"/>
    <x:xf numFmtId="0" fontId="7" fillId="4" borderId="5" xfId="0" applyNumberFormat="1" applyFont="1" applyFill="1" applyBorder="1"/>
    <x:xf numFmtId="0" fontId="0" fillId="5" borderId="6" xfId="0" applyNumberFormat="1" applyFont="1" applyFill="1" applyBorder="1"/>
    <x:xf numFmtId="0" fontId="7" fillId="4" borderId="6" xfId="0" applyNumberFormat="1" applyFont="1" applyFill="1" applyBorder="1"/>
    <x:xf numFmtId="0" fontId="0" fillId="5" borderId="7" xfId="0" applyNumberFormat="1" applyFont="1" applyFill="1" applyBorder="1"/>
    <x:xf numFmtId="200" fontId="0" fillId="5" borderId="3" xfId="0" applyNumberFormat="1" applyFont="1" applyFill="1" applyBorder="1"/>
    <x:xf numFmtId="200" fontId="0" fillId="5" borderId="6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0" fillId="5" borderId="15" xfId="0" applyNumberFormat="1" applyFont="1" applyFill="1" applyBorder="1"/>
    <x:xf numFmtId="0" fontId="0" fillId="5" borderId="18" xfId="0" applyNumberFormat="1" applyFont="1" applyFill="1" applyBorder="1"/>
    <x:xf numFmtId="0" fontId="0" fillId="5" borderId="20" xfId="0" applyNumberFormat="1" applyFont="1" applyFill="1" applyBorder="1"/>
    <x:xf numFmtId="0" fontId="0" fillId="5" borderId="23" xfId="0" applyNumberFormat="1" applyFont="1" applyFill="1" applyBorder="1"/>
    <x:xf numFmtId="0" fontId="0" fillId="7" borderId="8" xfId="0" applyNumberFormat="1" applyFont="1" applyFill="1" applyBorder="1"/>
    <x:xf numFmtId="0" fontId="0" fillId="7" borderId="11" xfId="0" applyNumberFormat="1" applyFont="1" applyFill="1" applyBorder="1"/>
    <x:xf numFmtId="0" fontId="0" fillId="7" borderId="13" xfId="0" applyNumberFormat="1" applyFont="1" applyFill="1" applyBorder="1"/>
    <x:xf numFmtId="0" fontId="0" fillId="7" borderId="16" xfId="0" applyNumberFormat="1" applyFont="1" applyFill="1" applyBorder="1"/>
    <x:xf numFmtId="0" fontId="0" fillId="7" borderId="19" xfId="0" applyNumberFormat="1" applyFont="1" applyFill="1" applyBorder="1"/>
    <x:xf numFmtId="0" fontId="0" fillId="7" borderId="21" xfId="0" applyNumberFormat="1" applyFont="1" applyFill="1" applyBorder="1"/>
    <x:xf numFmtId="0" fontId="0" fillId="7" borderId="9" xfId="0" applyNumberFormat="1" applyFont="1" applyFill="1" applyBorder="1"/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7" xfId="0" applyNumberFormat="1" applyFont="1" applyFill="1" applyBorder="1"/>
    <x:xf numFmtId="0" fontId="0" fillId="7" borderId="1" xfId="0" applyNumberFormat="1" applyFont="1" applyFill="1" applyBorder="1"/>
    <x:xf numFmtId="0" fontId="0" fillId="7" borderId="22" xfId="0" applyNumberFormat="1" applyFont="1" applyFill="1" applyBorder="1"/>
    <x:xf numFmtId="201" fontId="0" fillId="5" borderId="9" xfId="0" applyNumberFormat="1" applyFont="1" applyFill="1" applyBorder="1"/>
    <x:xf numFmtId="201" fontId="0" fillId="7" borderId="9" xfId="0" applyNumberFormat="1" applyFont="1" applyFill="1" applyBorder="1"/>
    <x:xf numFmtId="201" fontId="0" fillId="5" borderId="0" xfId="0" applyNumberFormat="1" applyFont="1" applyFill="1" applyBorder="1"/>
    <x:xf numFmtId="201" fontId="0" fillId="7" borderId="0" xfId="0" applyNumberFormat="1" applyFont="1" applyFill="1" applyBorder="1"/>
    <x:xf numFmtId="201" fontId="0" fillId="5" borderId="14" xfId="0" applyNumberFormat="1" applyFont="1" applyFill="1" applyBorder="1"/>
    <x:xf numFmtId="201" fontId="0" fillId="7" borderId="14" xfId="0" applyNumberFormat="1" applyFont="1" applyFill="1" applyBorder="1"/>
    <x:xf numFmtId="201" fontId="0" fillId="5" borderId="17" xfId="0" applyNumberFormat="1" applyFont="1" applyFill="1" applyBorder="1"/>
    <x:xf numFmtId="201" fontId="0" fillId="7" borderId="17" xfId="0" applyNumberFormat="1" applyFont="1" applyFill="1" applyBorder="1"/>
    <x:xf numFmtId="201" fontId="0" fillId="5" borderId="1" xfId="0" applyNumberFormat="1" applyFont="1" applyFill="1" applyBorder="1"/>
    <x:xf numFmtId="201" fontId="0" fillId="7" borderId="1" xfId="0" applyNumberFormat="1" applyFont="1" applyFill="1" applyBorder="1"/>
    <x:xf numFmtId="201" fontId="0" fillId="5" borderId="22" xfId="0" applyNumberFormat="1" applyFont="1" applyFill="1" applyBorder="1"/>
    <x:xf numFmtId="201" fontId="0" fillId="7" borderId="22" xfId="0" applyNumberFormat="1" applyFont="1" applyFill="1" applyBorder="1"/>
    <x:xf numFmtId="202" fontId="0" fillId="5" borderId="9" xfId="0" applyNumberFormat="1" applyFont="1" applyFill="1" applyBorder="1"/>
    <x:xf numFmtId="202" fontId="0" fillId="5" borderId="0" xfId="0" applyNumberFormat="1" applyFont="1" applyFill="1" applyBorder="1"/>
    <x:xf numFmtId="202" fontId="0" fillId="5" borderId="14" xfId="0" applyNumberFormat="1" applyFont="1" applyFill="1" applyBorder="1"/>
    <x:xf numFmtId="202" fontId="0" fillId="5" borderId="17" xfId="0" applyNumberFormat="1" applyFont="1" applyFill="1" applyBorder="1"/>
    <x:xf numFmtId="202" fontId="0" fillId="5" borderId="1" xfId="0" applyNumberFormat="1" applyFont="1" applyFill="1" applyBorder="1"/>
    <x:xf numFmtId="202" fontId="0" fillId="5" borderId="22" xfId="0" applyNumberFormat="1" applyFont="1" applyFill="1" applyBorder="1"/>
    <x:xf numFmtId="0" fontId="0" fillId="7" borderId="10" xfId="0" applyNumberFormat="1" applyFont="1" applyFill="1" applyBorder="1"/>
    <x:xf numFmtId="0" fontId="0" fillId="7" borderId="12" xfId="0" applyNumberFormat="1" applyFont="1" applyFill="1" applyBorder="1"/>
    <x:xf numFmtId="0" fontId="0" fillId="7" borderId="18" xfId="0" applyNumberFormat="1" applyFont="1" applyFill="1" applyBorder="1"/>
    <x:xf numFmtId="0" fontId="0" fillId="7" borderId="20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e7d60f0724a04" /><Relationship Type="http://schemas.openxmlformats.org/officeDocument/2006/relationships/theme" Target="/xl/theme/theme1.xml" Id="Ra7f7c598972e4082" /><Relationship Type="http://schemas.openxmlformats.org/officeDocument/2006/relationships/sharedStrings" Target="/xl/sharedStrings.xml" Id="R7aa4bb0501874c94" /><Relationship Type="http://schemas.openxmlformats.org/officeDocument/2006/relationships/worksheet" Target="/xl/worksheets/sheet1.xml" Id="R4f48d8aaac894693" /><Relationship Type="http://schemas.openxmlformats.org/officeDocument/2006/relationships/worksheet" Target="/xl/worksheets/sheet2.xml" Id="R3c437ac9253e42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606fbb73d424dc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62000" cy="762000"/>
    <xdr:pic>
      <xdr:nvPicPr>
        <xdr:cNvPr id="1" name="3992c932-971b-463b-b0e8-7bc06ded05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06fbb73d42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41de4f4521349a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44" hidden="0" customWidth="1"/>
  </x:cols>
  <x:sheetData>
    <x:row r="1">
      <x:c r="A1" s="4" t="str">
        <x:v>Sales Order - Setup</x:v>
      </x:c>
      <x:c r="B1" s="4"/>
      <x:c r="C1" s="4"/>
      <x:c r="D1" s="4"/>
    </x:row>
    <x:row r="3">
      <x:c r="A3" s="16" t="str">
        <x:v>Field</x:v>
      </x:c>
      <x:c r="B3" s="17" t="str">
        <x:v>Value</x:v>
      </x:c>
      <x:c r="C3" s="17" t="str">
        <x:v>Status</x:v>
      </x:c>
      <x:c r="D3" s="18" t="str">
        <x:v>Note</x:v>
      </x:c>
    </x:row>
    <x:row r="4">
      <x:c r="A4" s="51" t="str">
        <x:v>Business Name</x:v>
      </x:c>
      <x:c r="B4" s="52" t="str">
        <x:v>Nexa Office Supplies Sdn. Bhd.</x:v>
      </x:c>
      <x:c r="C4" s="53" t="str">
        <x:v>Master</x:v>
      </x:c>
      <x:c r="D4" s="54" t="str">
        <x:v>Registered business name</x:v>
      </x:c>
    </x:row>
    <x:row r="5">
      <x:c r="A5" s="55" t="str">
        <x:v>Registration No.</x:v>
      </x:c>
      <x:c r="B5" s="56" t="str">
        <x:v>FIXTURE-000001</x:v>
      </x:c>
      <x:c r="C5" s="57" t="str">
        <x:v>Master</x:v>
      </x:c>
      <x:c r="D5" s="58" t="str">
        <x:v>Commercial document identity</x:v>
      </x:c>
    </x:row>
    <x:row r="6">
      <x:c r="A6" s="55" t="str">
        <x:v>TIN</x:v>
      </x:c>
      <x:c r="B6" s="56" t="str">
        <x:v/>
      </x:c>
      <x:c r="C6" s="57" t="str">
        <x:v>Master</x:v>
      </x:c>
      <x:c r="D6" s="58" t="str">
        <x:v>Tax identifier</x:v>
      </x:c>
    </x:row>
    <x:row r="7">
      <x:c r="A7" s="55" t="str">
        <x:v>Business Address</x:v>
      </x:c>
      <x:c r="B7" s="56" t="str">
        <x:v>1 Sample Road, Sample City (synthetic fixture)</x:v>
      </x:c>
      <x:c r="C7" s="57" t="str">
        <x:v>Master</x:v>
      </x:c>
      <x:c r="D7" s="58" t="str">
        <x:v>Principal business address</x:v>
      </x:c>
    </x:row>
    <x:row r="8">
      <x:c r="A8" s="55" t="str">
        <x:v>Email</x:v>
      </x:c>
      <x:c r="B8" s="56" t="str">
        <x:v>fixture@nexa.invalid</x:v>
      </x:c>
      <x:c r="C8" s="57" t="str">
        <x:v>Master</x:v>
      </x:c>
      <x:c r="D8" s="58" t="str">
        <x:v>Business email</x:v>
      </x:c>
    </x:row>
    <x:row r="9">
      <x:c r="A9" s="55" t="str">
        <x:v>Phone</x:v>
      </x:c>
      <x:c r="B9" s="56" t="str">
        <x:v>+60 0-000 0000</x:v>
      </x:c>
      <x:c r="C9" s="57" t="str">
        <x:v>Master</x:v>
      </x:c>
      <x:c r="D9" s="58" t="str">
        <x:v>Business phone</x:v>
      </x:c>
    </x:row>
    <x:row r="10">
      <x:c r="A10" s="55" t="str">
        <x:v>Reference Prefix</x:v>
      </x:c>
      <x:c r="B10" s="56" t="str">
        <x:v>NEX-SO</x:v>
      </x:c>
      <x:c r="C10" s="57" t="str">
        <x:v>Controlled</x:v>
      </x:c>
      <x:c r="D10" s="58" t="str">
        <x:v>Use NEX-[TYPE]-YYYY-NNNN</x:v>
      </x:c>
    </x:row>
    <x:row r="11">
      <x:c r="A11" s="55" t="str">
        <x:v>Input Colour</x:v>
      </x:c>
      <x:c r="B11" s="56" t="str">
        <x:v>#FFF7D6</x:v>
      </x:c>
      <x:c r="C11" s="57" t="str">
        <x:v>Legend</x:v>
      </x:c>
      <x:c r="D11" s="58" t="str">
        <x:v>Yellow = editable/input</x:v>
      </x:c>
    </x:row>
    <x:row r="12">
      <x:c r="A12" s="59" t="str">
        <x:v>Formula Colour</x:v>
      </x:c>
      <x:c r="B12" s="60" t="str">
        <x:v>#EDF4FA</x:v>
      </x:c>
      <x:c r="C12" s="61" t="str">
        <x:v>Legend</x:v>
      </x:c>
      <x:c r="D12" s="62" t="str">
        <x:v>Blue = formula/master-linked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>
      <x:c r="B1" s="79" t="str">
        <x:v>Nexa Office Supplies Sdn. Bhd.</x:v>
      </x:c>
      <x:c r="C1" s="79"/>
      <x:c r="D1" s="79"/>
      <x:c r="E1" s="79"/>
      <x:c r="F1" s="79"/>
      <x:c r="G1" s="79"/>
      <x:c r="H1" s="87" t="str">
        <x:v>SALES ORDER</x:v>
      </x:c>
      <x:c r="I1" s="87"/>
      <x:c r="J1" s="87"/>
      <x:c r="K1" s="87"/>
    </x:row>
    <x:row r="2">
      <x:c r="B2" s="80" t="str">
        <x:v>Reg. No.: FIXTURE-000001 | TIN: </x:v>
      </x:c>
      <x:c r="C2" s="80"/>
      <x:c r="D2" s="80"/>
      <x:c r="E2" s="80"/>
      <x:c r="F2" s="80"/>
      <x:c r="G2" s="80"/>
      <x:c r="H2" s="87"/>
      <x:c r="I2" s="87"/>
      <x:c r="J2" s="87"/>
      <x:c r="K2" s="87"/>
    </x:row>
    <x:row r="3">
      <x:c r="B3" s="80" t="str">
        <x:v>1 Sample Road, Sample City (synthetic fixture)</x:v>
      </x:c>
      <x:c r="C3" s="80"/>
      <x:c r="D3" s="80"/>
      <x:c r="E3" s="80"/>
      <x:c r="F3" s="80"/>
      <x:c r="G3" s="80"/>
    </x:row>
    <x:row r="4">
      <x:c r="B4" s="80" t="str">
        <x:v>fixture@nexa.invalid | +60 0-000 0000</x:v>
      </x:c>
      <x:c r="C4" s="80"/>
      <x:c r="D4" s="80"/>
      <x:c r="E4" s="80"/>
      <x:c r="F4" s="80"/>
      <x:c r="G4" s="80"/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8">
      <x:c r="A8" s="93" t="str">
        <x:v>CUSTOMER / ORDER DETAILS</x:v>
      </x:c>
      <x:c r="B8" s="94" t="str">
        <x:v>CUSTOMER / ORDER DETAILS</x:v>
      </x:c>
      <x:c r="C8" s="94" t="str">
        <x:v>CUSTOMER / ORDER DETAILS</x:v>
      </x:c>
      <x:c r="D8" s="94" t="str">
        <x:v>CUSTOMER / ORDER DETAILS</x:v>
      </x:c>
      <x:c r="E8" s="94" t="str">
        <x:v>CUSTOMER / ORDER DETAILS</x:v>
      </x:c>
      <x:c r="F8" s="94" t="str">
        <x:v>CUSTOMER / ORDER DETAILS</x:v>
      </x:c>
      <x:c r="G8" s="94" t="str">
        <x:v>CUSTOMER / ORDER DETAILS</x:v>
      </x:c>
      <x:c r="H8" s="94" t="str">
        <x:v>CUSTOMER / ORDER DETAILS</x:v>
      </x:c>
      <x:c r="I8" s="94" t="str">
        <x:v>CUSTOMER / ORDER DETAILS</x:v>
      </x:c>
      <x:c r="J8" s="94" t="str">
        <x:v>CUSTOMER / ORDER DETAILS</x:v>
      </x:c>
      <x:c r="K8" s="95" t="str">
        <x:v>CUSTOMER / ORDER DETAILS</x:v>
      </x:c>
    </x:row>
    <x:row r="9">
      <x:c r="A9" s="103" t="str">
        <x:v>Sales Order Ref.</x:v>
      </x:c>
      <x:c r="B9" s="104" t="str">
        <x:v>NEX-SO-2026-0001</x:v>
      </x:c>
      <x:c r="C9" s="104"/>
      <x:c r="D9" s="105" t="str">
        <x:v>Order Date</x:v>
      </x:c>
      <x:c r="E9" s="111"/>
      <x:c r="F9" s="104"/>
      <x:c r="G9" s="105" t="str">
        <x:v>Quotation Ref.</x:v>
      </x:c>
      <x:c r="H9" s="104"/>
      <x:c r="I9" s="104"/>
      <x:c r="J9" s="104"/>
      <x:c r="K9" s="106"/>
    </x:row>
    <x:row r="10">
      <x:c r="A10" s="103" t="str">
        <x:v>Customer</x:v>
      </x:c>
      <x:c r="B10" s="104"/>
      <x:c r="C10" s="104"/>
      <x:c r="D10" s="104"/>
      <x:c r="E10" s="104"/>
      <x:c r="F10" s="104"/>
      <x:c r="G10" s="105" t="str">
        <x:v>Customer PO / Ref.</x:v>
      </x:c>
      <x:c r="H10" s="104"/>
      <x:c r="I10" s="104"/>
      <x:c r="J10" s="104"/>
      <x:c r="K10" s="106"/>
    </x:row>
    <x:row r="11">
      <x:c r="A11" s="103" t="str">
        <x:v>Billing Address</x:v>
      </x:c>
      <x:c r="B11" s="104"/>
      <x:c r="C11" s="104"/>
      <x:c r="D11" s="104"/>
      <x:c r="E11" s="104"/>
      <x:c r="F11" s="104"/>
      <x:c r="G11" s="105" t="str">
        <x:v>Delivery Address</x:v>
      </x:c>
      <x:c r="H11" s="104"/>
      <x:c r="I11" s="104"/>
      <x:c r="J11" s="104"/>
      <x:c r="K11" s="106"/>
    </x:row>
    <x:row r="12">
      <x:c r="A12" s="103" t="str">
        <x:v>Contact / Email</x:v>
      </x:c>
      <x:c r="B12" s="104"/>
      <x:c r="C12" s="104"/>
      <x:c r="D12" s="104"/>
      <x:c r="E12" s="104"/>
      <x:c r="F12" s="104"/>
      <x:c r="G12" s="105" t="str">
        <x:v>Promised / Est. Delivery</x:v>
      </x:c>
      <x:c r="H12" s="111"/>
      <x:c r="I12" s="104"/>
      <x:c r="J12" s="104"/>
      <x:c r="K12" s="106"/>
    </x:row>
    <x:row r="15">
      <x:c r="A15" s="93" t="str">
        <x:v>ORDER ITEMS</x:v>
      </x:c>
      <x:c r="B15" s="94" t="str">
        <x:v>ORDER ITEMS</x:v>
      </x:c>
      <x:c r="C15" s="94" t="str">
        <x:v>ORDER ITEMS</x:v>
      </x:c>
      <x:c r="D15" s="94" t="str">
        <x:v>ORDER ITEMS</x:v>
      </x:c>
      <x:c r="E15" s="94" t="str">
        <x:v>ORDER ITEMS</x:v>
      </x:c>
      <x:c r="F15" s="94" t="str">
        <x:v>ORDER ITEMS</x:v>
      </x:c>
      <x:c r="G15" s="94" t="str">
        <x:v>ORDER ITEMS</x:v>
      </x:c>
      <x:c r="H15" s="94" t="str">
        <x:v>ORDER ITEMS</x:v>
      </x:c>
      <x:c r="I15" s="94" t="str">
        <x:v>ORDER ITEMS</x:v>
      </x:c>
      <x:c r="J15" s="94" t="str">
        <x:v>ORDER ITEMS</x:v>
      </x:c>
      <x:c r="K15" s="95" t="str">
        <x:v>ORDER ITEMS</x:v>
      </x:c>
    </x:row>
    <x:row r="16">
      <x:c r="A16" s="16" t="str">
        <x:v>No.</x:v>
      </x:c>
      <x:c r="B16" s="17" t="str">
        <x:v>SKU / Item</x:v>
      </x:c>
      <x:c r="C16" s="17" t="str">
        <x:v>Description / Specification</x:v>
      </x:c>
      <x:c r="D16" s="17" t="str">
        <x:v>Qty</x:v>
      </x:c>
      <x:c r="E16" s="17" t="str">
        <x:v>Unit</x:v>
      </x:c>
      <x:c r="F16" s="17" t="str">
        <x:v>Unit Price</x:v>
      </x:c>
      <x:c r="G16" s="17" t="str">
        <x:v>Discount</x:v>
      </x:c>
      <x:c r="H16" s="17" t="str">
        <x:v>Line Subtotal</x:v>
      </x:c>
      <x:c r="I16" s="17" t="str">
        <x:v>Tax %</x:v>
      </x:c>
      <x:c r="J16" s="17" t="str">
        <x:v>Line Total</x:v>
      </x:c>
      <x:c r="K16" s="18" t="str">
        <x:v>Fulfilment Notes</x:v>
      </x:c>
    </x:row>
    <x:row r="17">
      <x:c r="A17" s="119" t="str">
        <x:f>IF(B17="","",ROW()-16)</x:f>
      </x:c>
      <x:c r="B17" s="45"/>
      <x:c r="C17" s="45"/>
      <x:c r="D17" s="45"/>
      <x:c r="E17" s="45"/>
      <x:c r="F17" s="131"/>
      <x:c r="G17" s="131"/>
      <x:c r="H17" s="132" t="str">
        <x:f>IF(OR(D17="",F17=""),"",D17*F17-G17)</x:f>
      </x:c>
      <x:c r="I17" s="143"/>
      <x:c r="J17" s="132" t="str">
        <x:f>IF(H17="","",H17*(1+I17))</x:f>
      </x:c>
      <x:c r="K17" s="113"/>
    </x:row>
    <x:row r="18">
      <x:c r="A18" s="120" t="str">
        <x:f>IF(B18="","",ROW()-16)</x:f>
      </x:c>
      <x:c r="B18" s="46"/>
      <x:c r="C18" s="46"/>
      <x:c r="D18" s="46"/>
      <x:c r="E18" s="46"/>
      <x:c r="F18" s="133"/>
      <x:c r="G18" s="133"/>
      <x:c r="H18" s="134" t="str">
        <x:f>IF(OR(D18="",F18=""),"",D18*F18-G18)</x:f>
      </x:c>
      <x:c r="I18" s="144"/>
      <x:c r="J18" s="134" t="str">
        <x:f>IF(H18="","",H18*(1+I18))</x:f>
      </x:c>
      <x:c r="K18" s="114"/>
    </x:row>
    <x:row r="19">
      <x:c r="A19" s="120" t="str">
        <x:f>IF(B19="","",ROW()-16)</x:f>
      </x:c>
      <x:c r="B19" s="46"/>
      <x:c r="C19" s="46"/>
      <x:c r="D19" s="46"/>
      <x:c r="E19" s="46"/>
      <x:c r="F19" s="133"/>
      <x:c r="G19" s="133"/>
      <x:c r="H19" s="134" t="str">
        <x:f>IF(OR(D19="",F19=""),"",D19*F19-G19)</x:f>
      </x:c>
      <x:c r="I19" s="144"/>
      <x:c r="J19" s="134" t="str">
        <x:f>IF(H19="","",H19*(1+I19))</x:f>
      </x:c>
      <x:c r="K19" s="114"/>
    </x:row>
    <x:row r="20">
      <x:c r="A20" s="120" t="str">
        <x:f>IF(B20="","",ROW()-16)</x:f>
      </x:c>
      <x:c r="B20" s="46"/>
      <x:c r="C20" s="46"/>
      <x:c r="D20" s="46"/>
      <x:c r="E20" s="46"/>
      <x:c r="F20" s="133"/>
      <x:c r="G20" s="133"/>
      <x:c r="H20" s="134" t="str">
        <x:f>IF(OR(D20="",F20=""),"",D20*F20-G20)</x:f>
      </x:c>
      <x:c r="I20" s="144"/>
      <x:c r="J20" s="134" t="str">
        <x:f>IF(H20="","",H20*(1+I20))</x:f>
      </x:c>
      <x:c r="K20" s="114"/>
    </x:row>
    <x:row r="21">
      <x:c r="A21" s="120" t="str">
        <x:f>IF(B21="","",ROW()-16)</x:f>
      </x:c>
      <x:c r="B21" s="46"/>
      <x:c r="C21" s="46"/>
      <x:c r="D21" s="46"/>
      <x:c r="E21" s="46"/>
      <x:c r="F21" s="133"/>
      <x:c r="G21" s="133"/>
      <x:c r="H21" s="134" t="str">
        <x:f>IF(OR(D21="",F21=""),"",D21*F21-G21)</x:f>
      </x:c>
      <x:c r="I21" s="144"/>
      <x:c r="J21" s="134" t="str">
        <x:f>IF(H21="","",H21*(1+I21))</x:f>
      </x:c>
      <x:c r="K21" s="114"/>
    </x:row>
    <x:row r="22">
      <x:c r="A22" s="120" t="str">
        <x:f>IF(B22="","",ROW()-16)</x:f>
      </x:c>
      <x:c r="B22" s="46"/>
      <x:c r="C22" s="46"/>
      <x:c r="D22" s="46"/>
      <x:c r="E22" s="46"/>
      <x:c r="F22" s="133"/>
      <x:c r="G22" s="133"/>
      <x:c r="H22" s="134" t="str">
        <x:f>IF(OR(D22="",F22=""),"",D22*F22-G22)</x:f>
      </x:c>
      <x:c r="I22" s="144"/>
      <x:c r="J22" s="134" t="str">
        <x:f>IF(H22="","",H22*(1+I22))</x:f>
      </x:c>
      <x:c r="K22" s="114"/>
    </x:row>
    <x:row r="23">
      <x:c r="A23" s="120" t="str">
        <x:f>IF(B23="","",ROW()-16)</x:f>
      </x:c>
      <x:c r="B23" s="46"/>
      <x:c r="C23" s="46"/>
      <x:c r="D23" s="46"/>
      <x:c r="E23" s="46"/>
      <x:c r="F23" s="133"/>
      <x:c r="G23" s="133"/>
      <x:c r="H23" s="134" t="str">
        <x:f>IF(OR(D23="",F23=""),"",D23*F23-G23)</x:f>
      </x:c>
      <x:c r="I23" s="144"/>
      <x:c r="J23" s="134" t="str">
        <x:f>IF(H23="","",H23*(1+I23))</x:f>
      </x:c>
      <x:c r="K23" s="114"/>
    </x:row>
    <x:row r="24">
      <x:c r="A24" s="120" t="str">
        <x:f>IF(B24="","",ROW()-16)</x:f>
      </x:c>
      <x:c r="B24" s="46"/>
      <x:c r="C24" s="46"/>
      <x:c r="D24" s="46"/>
      <x:c r="E24" s="46"/>
      <x:c r="F24" s="133"/>
      <x:c r="G24" s="133"/>
      <x:c r="H24" s="134" t="str">
        <x:f>IF(OR(D24="",F24=""),"",D24*F24-G24)</x:f>
      </x:c>
      <x:c r="I24" s="144"/>
      <x:c r="J24" s="134" t="str">
        <x:f>IF(H24="","",H24*(1+I24))</x:f>
      </x:c>
      <x:c r="K24" s="114"/>
    </x:row>
    <x:row r="25">
      <x:c r="A25" s="120" t="str">
        <x:f>IF(B25="","",ROW()-16)</x:f>
      </x:c>
      <x:c r="B25" s="46"/>
      <x:c r="C25" s="46"/>
      <x:c r="D25" s="46"/>
      <x:c r="E25" s="46"/>
      <x:c r="F25" s="133"/>
      <x:c r="G25" s="133"/>
      <x:c r="H25" s="134" t="str">
        <x:f>IF(OR(D25="",F25=""),"",D25*F25-G25)</x:f>
      </x:c>
      <x:c r="I25" s="144"/>
      <x:c r="J25" s="134" t="str">
        <x:f>IF(H25="","",H25*(1+I25))</x:f>
      </x:c>
      <x:c r="K25" s="114"/>
    </x:row>
    <x:row r="26">
      <x:c r="A26" s="120" t="str">
        <x:f>IF(B26="","",ROW()-16)</x:f>
      </x:c>
      <x:c r="B26" s="46"/>
      <x:c r="C26" s="46"/>
      <x:c r="D26" s="46"/>
      <x:c r="E26" s="46"/>
      <x:c r="F26" s="133"/>
      <x:c r="G26" s="133"/>
      <x:c r="H26" s="134" t="str">
        <x:f>IF(OR(D26="",F26=""),"",D26*F26-G26)</x:f>
      </x:c>
      <x:c r="I26" s="144"/>
      <x:c r="J26" s="134" t="str">
        <x:f>IF(H26="","",H26*(1+I26))</x:f>
      </x:c>
      <x:c r="K26" s="114"/>
    </x:row>
    <x:row r="27">
      <x:c r="A27" s="120" t="str">
        <x:f>IF(B27="","",ROW()-16)</x:f>
      </x:c>
      <x:c r="B27" s="46"/>
      <x:c r="C27" s="46"/>
      <x:c r="D27" s="46"/>
      <x:c r="E27" s="46"/>
      <x:c r="F27" s="133"/>
      <x:c r="G27" s="133"/>
      <x:c r="H27" s="134" t="str">
        <x:f>IF(OR(D27="",F27=""),"",D27*F27-G27)</x:f>
      </x:c>
      <x:c r="I27" s="144"/>
      <x:c r="J27" s="134" t="str">
        <x:f>IF(H27="","",H27*(1+I27))</x:f>
      </x:c>
      <x:c r="K27" s="114"/>
    </x:row>
    <x:row r="28">
      <x:c r="A28" s="120" t="str">
        <x:f>IF(B28="","",ROW()-16)</x:f>
      </x:c>
      <x:c r="B28" s="46"/>
      <x:c r="C28" s="46"/>
      <x:c r="D28" s="46"/>
      <x:c r="E28" s="46"/>
      <x:c r="F28" s="133"/>
      <x:c r="G28" s="133"/>
      <x:c r="H28" s="134" t="str">
        <x:f>IF(OR(D28="",F28=""),"",D28*F28-G28)</x:f>
      </x:c>
      <x:c r="I28" s="144"/>
      <x:c r="J28" s="134" t="str">
        <x:f>IF(H28="","",H28*(1+I28))</x:f>
      </x:c>
      <x:c r="K28" s="114"/>
    </x:row>
    <x:row r="29">
      <x:c r="A29" s="120" t="str">
        <x:f>IF(B29="","",ROW()-16)</x:f>
      </x:c>
      <x:c r="B29" s="46"/>
      <x:c r="C29" s="46"/>
      <x:c r="D29" s="46"/>
      <x:c r="E29" s="46"/>
      <x:c r="F29" s="133"/>
      <x:c r="G29" s="133"/>
      <x:c r="H29" s="134" t="str">
        <x:f>IF(OR(D29="",F29=""),"",D29*F29-G29)</x:f>
      </x:c>
      <x:c r="I29" s="144"/>
      <x:c r="J29" s="134" t="str">
        <x:f>IF(H29="","",H29*(1+I29))</x:f>
      </x:c>
      <x:c r="K29" s="114"/>
    </x:row>
    <x:row r="30">
      <x:c r="A30" s="120" t="str">
        <x:f>IF(B30="","",ROW()-16)</x:f>
      </x:c>
      <x:c r="B30" s="46"/>
      <x:c r="C30" s="46"/>
      <x:c r="D30" s="46"/>
      <x:c r="E30" s="46"/>
      <x:c r="F30" s="133"/>
      <x:c r="G30" s="133"/>
      <x:c r="H30" s="134" t="str">
        <x:f>IF(OR(D30="",F30=""),"",D30*F30-G30)</x:f>
      </x:c>
      <x:c r="I30" s="144"/>
      <x:c r="J30" s="134" t="str">
        <x:f>IF(H30="","",H30*(1+I30))</x:f>
      </x:c>
      <x:c r="K30" s="114"/>
    </x:row>
    <x:row r="31">
      <x:c r="A31" s="121" t="str">
        <x:f>IF(B31="","",ROW()-16)</x:f>
      </x:c>
      <x:c r="B31" s="47"/>
      <x:c r="C31" s="47"/>
      <x:c r="D31" s="47"/>
      <x:c r="E31" s="47"/>
      <x:c r="F31" s="135"/>
      <x:c r="G31" s="135"/>
      <x:c r="H31" s="136" t="str">
        <x:f>IF(OR(D31="",F31=""),"",D31*F31-G31)</x:f>
      </x:c>
      <x:c r="I31" s="145"/>
      <x:c r="J31" s="136" t="str">
        <x:f>IF(H31="","",H31*(1+I31))</x:f>
      </x:c>
      <x:c r="K31" s="115"/>
    </x:row>
    <x:row r="34">
      <x:c r="A34" s="93" t="str">
        <x:v>ORDER SUMMARY / STATUS</x:v>
      </x:c>
      <x:c r="B34" s="94" t="str">
        <x:v>ORDER SUMMARY / STATUS</x:v>
      </x:c>
      <x:c r="C34" s="94" t="str">
        <x:v>ORDER SUMMARY / STATUS</x:v>
      </x:c>
      <x:c r="D34" s="94" t="str">
        <x:v>ORDER SUMMARY / STATUS</x:v>
      </x:c>
      <x:c r="E34" s="94" t="str">
        <x:v>ORDER SUMMARY / STATUS</x:v>
      </x:c>
      <x:c r="F34" s="94" t="str">
        <x:v>ORDER SUMMARY / STATUS</x:v>
      </x:c>
      <x:c r="G34" s="94" t="str">
        <x:v>ORDER SUMMARY / STATUS</x:v>
      </x:c>
      <x:c r="H34" s="94" t="str">
        <x:v>ORDER SUMMARY / STATUS</x:v>
      </x:c>
      <x:c r="I34" s="94" t="str">
        <x:v>ORDER SUMMARY / STATUS</x:v>
      </x:c>
      <x:c r="J34" s="94" t="str">
        <x:v>ORDER SUMMARY / STATUS</x:v>
      </x:c>
      <x:c r="K34" s="95" t="str">
        <x:v>ORDER SUMMARY / STATUS</x:v>
      </x:c>
    </x:row>
    <x:row r="35">
      <x:c r="A35" s="22" t="str">
        <x:v>Subtotal</x:v>
      </x:c>
      <x:c r="B35" s="132" t="n">
        <x:f>SUM(H17:H31)</x:f>
        <x:v>0</x:v>
      </x:c>
      <x:c r="C35" s="149"/>
      <x:c r="E35" s="153" t="str">
        <x:v>Commercial / delivery / special instructions:</x:v>
      </x:c>
      <x:c r="F35" s="45"/>
      <x:c r="G35" s="45"/>
      <x:c r="H35" s="45"/>
      <x:c r="I35" s="45"/>
      <x:c r="J35" s="45"/>
      <x:c r="K35" s="113"/>
    </x:row>
    <x:row r="36">
      <x:c r="A36" s="25" t="str">
        <x:v>Tax</x:v>
      </x:c>
      <x:c r="B36" s="134" t="n">
        <x:f>SUM(J17:J31)-B35</x:f>
        <x:v>0</x:v>
      </x:c>
      <x:c r="C36" s="150"/>
      <x:c r="E36" s="154"/>
      <x:c r="F36" s="46"/>
      <x:c r="G36" s="46"/>
      <x:c r="H36" s="46"/>
      <x:c r="I36" s="46"/>
      <x:c r="J36" s="46"/>
      <x:c r="K36" s="114"/>
    </x:row>
    <x:row r="37">
      <x:c r="A37" s="25" t="str">
        <x:v>Order Total</x:v>
      </x:c>
      <x:c r="B37" s="134" t="n">
        <x:f>SUM(J17:J31)</x:f>
        <x:v>0</x:v>
      </x:c>
      <x:c r="C37" s="150"/>
      <x:c r="E37" s="154"/>
      <x:c r="F37" s="46"/>
      <x:c r="G37" s="46"/>
      <x:c r="H37" s="46"/>
      <x:c r="I37" s="46"/>
      <x:c r="J37" s="46"/>
      <x:c r="K37" s="114"/>
    </x:row>
    <x:row r="38">
      <x:c r="A38" s="25" t="str">
        <x:v>Payment Status</x:v>
      </x:c>
      <x:c r="B38" s="46"/>
      <x:c r="C38" s="114"/>
      <x:c r="E38" s="154"/>
      <x:c r="F38" s="46"/>
      <x:c r="G38" s="46"/>
      <x:c r="H38" s="46"/>
      <x:c r="I38" s="46"/>
      <x:c r="J38" s="46"/>
      <x:c r="K38" s="114"/>
    </x:row>
    <x:row r="39">
      <x:c r="A39" s="28" t="str">
        <x:v>Fulfilment Status</x:v>
      </x:c>
      <x:c r="B39" s="47"/>
      <x:c r="C39" s="115"/>
      <x:c r="E39" s="155"/>
      <x:c r="F39" s="47"/>
      <x:c r="G39" s="47"/>
      <x:c r="H39" s="47"/>
      <x:c r="I39" s="47"/>
      <x:c r="J39" s="47"/>
      <x:c r="K39" s="115"/>
    </x:row>
  </x:sheetData>
  <x:mergeCells>
    <x:mergeCell ref="B1:G1"/>
    <x:mergeCell ref="B2:G2"/>
    <x:mergeCell ref="B3:G3"/>
    <x:mergeCell ref="B4:G4"/>
    <x:mergeCell ref="H1:K2"/>
    <x:mergeCell ref="A6:K6"/>
    <x:mergeCell ref="A8:K8"/>
    <x:mergeCell ref="B9:C9"/>
    <x:mergeCell ref="E9:F9"/>
    <x:mergeCell ref="H9:K9"/>
    <x:mergeCell ref="B10:F10"/>
    <x:mergeCell ref="H10:K10"/>
    <x:mergeCell ref="B11:F11"/>
    <x:mergeCell ref="H11:K11"/>
    <x:mergeCell ref="B12:F12"/>
    <x:mergeCell ref="H12:K12"/>
    <x:mergeCell ref="A15:K15"/>
    <x:mergeCell ref="A34:K34"/>
    <x:mergeCell ref="B35:C35"/>
    <x:mergeCell ref="B36:C36"/>
    <x:mergeCell ref="B37:C37"/>
    <x:mergeCell ref="B38:C38"/>
    <x:mergeCell ref="B39:C39"/>
    <x:mergeCell ref="E35:K39"/>
  </x:mergeCells>
  <x:dataValidations count="2">
    <x:dataValidation type="list" sqref="B38">
      <x:formula1>"Unpaid,Deposit Paid,Paid,Credit Terms,Refunded,Other"</x:formula1>
    </x:dataValidation>
    <x:dataValidation type="list" sqref="B39">
      <x:formula1>"Pending,Picking,Partially Fulfilled,Ready to Ship,Shipped,Delivered,Cancelled,Closed"</x:formula1>
    </x:dataValidation>
  </x:dataValidations>
  <x:pageMargins left="0.7" right="0.7" top="0.75" bottom="0.75" header="0.3" footer="0.3"/>
  <x:drawing xmlns:r="http://schemas.openxmlformats.org/officeDocument/2006/relationships" r:id="R041de4f4521349af"/>
</x:worksheet>
</file>
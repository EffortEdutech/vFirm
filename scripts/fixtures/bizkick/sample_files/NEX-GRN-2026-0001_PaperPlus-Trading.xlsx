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a5b48314d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0a5e7a01b2bc4850"/>
    <x:sheet xmlns:r="http://schemas.openxmlformats.org/officeDocument/2006/relationships" name="Lists" sheetId="2" r:id="Rd844684b97d74df6"/>
    <x:sheet xmlns:r="http://schemas.openxmlformats.org/officeDocument/2006/relationships" name="GRN" sheetId="3" r:id="R2c8ecd103d53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dd mmm yyyy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b/>
      <x:sz val="9"/>
      <x:color rgb="FF102A44"/>
      <x:name val="Carlito"/>
    </x:font>
    <x:font>
      <x:b/>
      <x:sz val="16"/>
      <x:color rgb="FF102A44"/>
      <x:name val="Carlito"/>
    </x:font>
    <x:font>
      <x:sz val="8"/>
      <x:color rgb="FF5B6573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4"/>
      </x:patternFill>
    </x:fill>
    <x:fill>
      <x:patternFill patternType="solid">
        <x:fgColor rgb="FF7F91A4"/>
      </x:patternFill>
    </x:fill>
    <x:fill>
      <x:patternFill patternType="solid">
        <x:fgColor rgb="FFFFF7D6"/>
      </x:patternFill>
    </x:fill>
    <x:fill>
      <x:patternFill patternType="solid">
        <x:fgColor rgb="FFE9EEF3"/>
      </x:patternFill>
    </x:fill>
    <x:fill>
      <x:patternFill patternType="solid">
        <x:fgColor rgb="FFEDF4FA"/>
      </x:patternFill>
    </x:fill>
    <x:fill>
      <x:patternFill patternType="solid">
        <x:fgColor rgb="FF17385A"/>
      </x:patternFill>
    </x:fill>
  </x:fills>
  <x:borders count="24">
    <x:border/>
    <x:border/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0" borderId="2" xfId="0" applyNumberFormat="1" applyFont="1" applyFill="1" applyBorder="1"/>
    <x:xf numFmtId="0" fontId="3" fillId="0" borderId="5" xfId="0" applyNumberFormat="1" applyFont="1" applyFill="1" applyBorder="1"/>
    <x:xf numFmtId="0" fontId="3" fillId="0" borderId="7" xfId="0" applyNumberFormat="1" applyFont="1" applyFill="1" applyBorder="1"/>
    <x:xf numFmtId="0" fontId="3" fillId="0" borderId="10" xfId="0" applyNumberFormat="1" applyFont="1" applyFill="1" applyBorder="1"/>
    <x:xf numFmtId="0" fontId="3" fillId="0" borderId="13" xfId="0" applyNumberFormat="1" applyFont="1" applyFill="1" applyBorder="1"/>
    <x:xf numFmtId="0" fontId="3" fillId="0" borderId="15" xfId="0" applyNumberFormat="1" applyFont="1" applyFill="1" applyBorder="1"/>
    <x:xf numFmtId="0" fontId="0" fillId="4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8" xfId="0" applyNumberFormat="1" applyFont="1" applyFill="1" applyBorder="1"/>
    <x:xf numFmtId="0" fontId="0" fillId="4" borderId="11" xfId="0" applyNumberFormat="1" applyFont="1" applyFill="1" applyBorder="1"/>
    <x:xf numFmtId="0" fontId="0" fillId="4" borderId="1" xfId="0" applyNumberFormat="1" applyFont="1" applyFill="1" applyBorder="1"/>
    <x:xf numFmtId="0" fontId="0" fillId="4" borderId="16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5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3" fillId="5" borderId="13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201" fontId="0" fillId="0" borderId="6" xfId="0" applyNumberFormat="1" applyFont="1" applyFill="1" applyBorder="1"/>
    <x:xf numFmtId="201" fontId="0" fillId="0" borderId="14" xfId="0" applyNumberFormat="1" applyFont="1" applyFill="1" applyBorder="1"/>
    <x:xf numFmtId="0" fontId="0" fillId="4" borderId="4" xfId="0" applyNumberFormat="1" applyFont="1" applyFill="1" applyBorder="1"/>
    <x:xf numFmtId="201" fontId="0" fillId="4" borderId="6" xfId="0" applyNumberFormat="1" applyFont="1" applyFill="1" applyBorder="1"/>
    <x:xf numFmtId="0" fontId="0" fillId="4" borderId="9" xfId="0" applyNumberFormat="1" applyFont="1" applyFill="1" applyBorder="1"/>
    <x:xf numFmtId="0" fontId="0" fillId="4" borderId="12" xfId="0" applyNumberFormat="1" applyFont="1" applyFill="1" applyBorder="1"/>
    <x:xf numFmtId="201" fontId="0" fillId="4" borderId="14" xfId="0" applyNumberFormat="1" applyFont="1" applyFill="1" applyBorder="1"/>
    <x:xf numFmtId="0" fontId="0" fillId="4" borderId="17" xfId="0" applyNumberFormat="1" applyFont="1" applyFill="1" applyBorder="1"/>
    <x:xf numFmtId="0" fontId="0" fillId="6" borderId="9" xfId="0" applyNumberFormat="1" applyFont="1" applyFill="1" applyBorder="1"/>
    <x:xf numFmtId="0" fontId="0" fillId="6" borderId="17" xfId="0" applyNumberFormat="1" applyFont="1" applyFill="1" applyBorder="1"/>
    <x:xf numFmtId="201" fontId="0" fillId="6" borderId="9" xfId="0" applyNumberFormat="1" applyFont="1" applyFill="1" applyBorder="1"/>
    <x:xf numFmtId="201" fontId="0" fillId="6" borderId="17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0" xfId="0" applyNumberFormat="1" applyFont="1" applyFill="1" applyBorder="1"/>
    <x:xf numFmtId="0" fontId="0" fillId="5" borderId="13" xfId="0" applyNumberFormat="1" applyFont="1" applyFill="1" applyBorder="1"/>
    <x:xf numFmtId="0" fontId="0" fillId="5" borderId="15" xfId="0" applyNumberFormat="1" applyFont="1" applyFill="1" applyBorder="1"/>
    <x:xf numFmtId="0" fontId="0" fillId="5" borderId="3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0" fillId="5" borderId="16" xfId="0" applyNumberFormat="1" applyFont="1" applyFill="1" applyBorder="1"/>
    <x:xf numFmtId="0" fontId="0" fillId="4" borderId="6" xfId="0" applyNumberFormat="1" applyFont="1" applyFill="1" applyBorder="1"/>
    <x:xf numFmtId="0" fontId="0" fillId="4" borderId="14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8" xfId="0" applyNumberFormat="1" applyFont="1" applyFill="1" applyBorder="1"/>
    <x:xf numFmtId="0" fontId="8" fillId="3" borderId="19" xfId="0" applyNumberFormat="1" applyFont="1" applyFill="1" applyBorder="1"/>
    <x:xf numFmtId="0" fontId="8" fillId="3" borderId="20" xfId="0" applyNumberFormat="1" applyFont="1" applyFill="1" applyBorder="1"/>
    <x:xf numFmtId="0" fontId="8" fillId="3" borderId="21" xfId="0" applyNumberFormat="1" applyFont="1" applyFill="1" applyBorder="1"/>
    <x:xf numFmtId="0" fontId="8" fillId="3" borderId="22" xfId="0" applyNumberFormat="1" applyFont="1" applyFill="1" applyBorder="1"/>
    <x:xf numFmtId="0" fontId="8" fillId="3" borderId="23" xfId="0" applyNumberFormat="1" applyFont="1" applyFill="1" applyBorder="1"/>
    <x:xf numFmtId="0" fontId="0" fillId="6" borderId="2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0" fillId="6" borderId="10" xfId="0" applyNumberFormat="1" applyFont="1" applyFill="1" applyBorder="1"/>
    <x:xf numFmtId="0" fontId="0" fillId="6" borderId="13" xfId="0" applyNumberFormat="1" applyFont="1" applyFill="1" applyBorder="1"/>
    <x:xf numFmtId="0" fontId="0" fillId="6" borderId="15" xfId="0" applyNumberFormat="1" applyFont="1" applyFill="1" applyBorder="1"/>
    <x:xf numFmtId="0" fontId="0" fillId="6" borderId="3" xfId="0" applyNumberFormat="1" applyFont="1" applyFill="1" applyBorder="1"/>
    <x:xf numFmtId="0" fontId="0" fillId="6" borderId="0" xfId="0" applyNumberFormat="1" applyFont="1" applyFill="1" applyBorder="1"/>
    <x:xf numFmtId="0" fontId="0" fillId="6" borderId="8" xfId="0" applyNumberFormat="1" applyFont="1" applyFill="1" applyBorder="1"/>
    <x:xf numFmtId="0" fontId="0" fillId="6" borderId="11" xfId="0" applyNumberFormat="1" applyFont="1" applyFill="1" applyBorder="1"/>
    <x:xf numFmtId="0" fontId="0" fillId="6" borderId="1" xfId="0" applyNumberFormat="1" applyFont="1" applyFill="1" applyBorder="1"/>
    <x:xf numFmtId="0" fontId="0" fillId="6" borderId="16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0" fillId="6" borderId="12" xfId="0" applyNumberFormat="1" applyFont="1" applyFill="1" applyBorder="1"/>
    <x:xf numFmtId="0" fontId="0" fillId="6" borderId="14" xfId="0" applyNumberFormat="1" applyFont="1" applyFill="1" applyBorder="1"/>
    <x:xf numFmtId="0" fontId="0" fillId="4" borderId="2" xfId="0" applyNumberFormat="1" applyFont="1" applyFill="1" applyBorder="1"/>
    <x:xf numFmtId="0" fontId="0" fillId="4" borderId="5" xfId="0" applyNumberFormat="1" applyFont="1" applyFill="1" applyBorder="1"/>
    <x:xf numFmtId="0" fontId="0" fillId="4" borderId="7" xfId="0" applyNumberFormat="1" applyFont="1" applyFill="1" applyBorder="1"/>
    <x:xf numFmtId="0" fontId="0" fillId="4" borderId="10" xfId="0" applyNumberFormat="1" applyFont="1" applyFill="1" applyBorder="1"/>
    <x:xf numFmtId="0" fontId="0" fillId="4" borderId="13" xfId="0" applyNumberFormat="1" applyFont="1" applyFill="1" applyBorder="1"/>
    <x:xf numFmtId="0" fontId="0" fillId="4" borderId="15" xfId="0" applyNumberFormat="1" applyFont="1" applyFill="1" applyBorder="1"/>
    <x:xf numFmtId="0" fontId="0" fillId="5" borderId="4" xfId="0" applyNumberFormat="1" applyFont="1" applyFill="1" applyBorder="1"/>
    <x:xf numFmtId="0" fontId="0" fillId="5" borderId="12" xfId="0" applyNumberFormat="1" applyFont="1" applyFill="1" applyBorder="1"/>
    <x:xf numFmtId="0" fontId="3" fillId="5" borderId="4" xfId="0" applyNumberFormat="1" applyFont="1" applyFill="1" applyBorder="1"/>
    <x:xf numFmtId="0" fontId="3" fillId="5" borderId="12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A61B1B"/>
      </x:font>
      <x:fill>
        <x:patternFill>
          <x:bgColor rgb="FFFDE8E8"/>
        </x:patternFill>
      </x:fill>
    </x:dxf>
    <x:dxf>
      <x:font>
        <x:b/>
        <x:color rgb="FF176B36"/>
      </x:font>
      <x:fill>
        <x:patternFill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be691c3b14348" /><Relationship Type="http://schemas.openxmlformats.org/officeDocument/2006/relationships/theme" Target="/xl/theme/theme1.xml" Id="R63e867e37c0241f0" /><Relationship Type="http://schemas.openxmlformats.org/officeDocument/2006/relationships/sharedStrings" Target="/xl/sharedStrings.xml" Id="R051bd6a13a8940dc" /><Relationship Type="http://schemas.openxmlformats.org/officeDocument/2006/relationships/worksheet" Target="/xl/worksheets/sheet1.xml" Id="R0a5e7a01b2bc4850" /><Relationship Type="http://schemas.openxmlformats.org/officeDocument/2006/relationships/worksheet" Target="/xl/worksheets/sheet2.xml" Id="Rd844684b97d74df6" /><Relationship Type="http://schemas.openxmlformats.org/officeDocument/2006/relationships/worksheet" Target="/xl/worksheets/sheet3.xml" Id="R2c8ecd103d534d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979430b8483403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38200" cy="8382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79430b848340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b4d11ea4254482b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15" hidden="0" customWidth="1"/>
    <x:col min="4" max="4" width="48" hidden="0" customWidth="1"/>
  </x:cols>
  <x:sheetData>
    <x:row r="1">
      <x:c r="A1" s="8" t="str">
        <x:v>Nexa Office Supplies Sdn. Bhd. - GOODS RECEIVED NOTE SETUP</x:v>
      </x:c>
      <x:c r="B1" s="8"/>
      <x:c r="C1" s="8"/>
      <x:c r="D1" s="8"/>
    </x:row>
    <x:row r="3">
      <x:c r="A3" s="49" t="str">
        <x:v>Field</x:v>
      </x:c>
      <x:c r="B3" s="50" t="str">
        <x:v>Value</x:v>
      </x:c>
      <x:c r="C3" s="50" t="str">
        <x:v>Status</x:v>
      </x:c>
      <x:c r="D3" s="51" t="str">
        <x:v>Note</x:v>
      </x:c>
    </x:row>
    <x:row r="4">
      <x:c r="A4" s="52" t="str">
        <x:v>Registered Business Name</x:v>
      </x:c>
      <x:c r="B4" s="53" t="str">
        <x:v>Nexa Office Supplies Sdn. Bhd.</x:v>
      </x:c>
      <x:c r="C4" s="54" t="str">
        <x:v>Confirmed</x:v>
      </x:c>
      <x:c r="D4" s="55" t="str">
        <x:v>SSM</x:v>
      </x:c>
    </x:row>
    <x:row r="5">
      <x:c r="A5" s="56" t="str">
        <x:v>Registration No.</x:v>
      </x:c>
      <x:c r="B5" s="57" t="str">
        <x:v>FIXTURE-000001</x:v>
      </x:c>
      <x:c r="C5" s="58" t="str">
        <x:v>Confirmed</x:v>
      </x:c>
      <x:c r="D5" s="59" t="str">
        <x:v>SSM</x:v>
      </x:c>
    </x:row>
    <x:row r="6">
      <x:c r="A6" s="56" t="str">
        <x:v>LHDN TIN</x:v>
      </x:c>
      <x:c r="B6" s="57" t="str">
        <x:v/>
      </x:c>
      <x:c r="C6" s="58" t="str">
        <x:v>Confirmed</x:v>
      </x:c>
      <x:c r="D6" s="59" t="str">
        <x:v>User supplied</x:v>
      </x:c>
    </x:row>
    <x:row r="7">
      <x:c r="A7" s="56" t="str">
        <x:v>Business Address</x:v>
      </x:c>
      <x:c r="B7" s="57" t="str">
        <x:v>1 Sample Road, Sample City (synthetic fixture)</x:v>
      </x:c>
      <x:c r="C7" s="58" t="str">
        <x:v>Confirmed</x:v>
      </x:c>
      <x:c r="D7" s="59" t="str">
        <x:v>SSM</x:v>
      </x:c>
    </x:row>
    <x:row r="8">
      <x:c r="A8" s="56" t="str">
        <x:v>Business Telephone</x:v>
      </x:c>
      <x:c r="B8" s="57" t="str">
        <x:v>+60 0-000 0000</x:v>
      </x:c>
      <x:c r="C8" s="58" t="str">
        <x:v>Confirmed</x:v>
      </x:c>
      <x:c r="D8" s="59" t="str">
        <x:v>SSM</x:v>
      </x:c>
    </x:row>
    <x:row r="9">
      <x:c r="A9" s="56" t="str">
        <x:v>Business Email</x:v>
      </x:c>
      <x:c r="B9" s="57" t="str">
        <x:v>fixture@nexa.invalid</x:v>
      </x:c>
      <x:c r="C9" s="58" t="str">
        <x:v>Confirmed</x:v>
      </x:c>
      <x:c r="D9" s="59" t="str">
        <x:v>User supplied</x:v>
      </x:c>
    </x:row>
    <x:row r="10">
      <x:c r="A10" s="56" t="str">
        <x:v>Default Currency</x:v>
      </x:c>
      <x:c r="B10" s="57" t="str">
        <x:v>MYR</x:v>
      </x:c>
      <x:c r="C10" s="58" t="str">
        <x:v>Working</x:v>
      </x:c>
      <x:c r="D10" s="59" t="str">
        <x:v>Editable</x:v>
      </x:c>
    </x:row>
    <x:row r="11">
      <x:c r="A11" s="56" t="str">
        <x:v>Default Tax Rate</x:v>
      </x:c>
      <x:c r="B11" s="79" t="n">
        <x:v>0</x:v>
      </x:c>
      <x:c r="C11" s="58" t="str">
        <x:v>Working</x:v>
      </x:c>
      <x:c r="D11" s="59" t="str">
        <x:v>0% until tax applicability is confirmed</x:v>
      </x:c>
    </x:row>
    <x:row r="12">
      <x:c r="A12" s="56" t="str">
        <x:v>Default Payment Terms (Days)</x:v>
      </x:c>
      <x:c r="B12" s="57" t="n">
        <x:v>30</x:v>
      </x:c>
      <x:c r="C12" s="58" t="str">
        <x:v>Working</x:v>
      </x:c>
      <x:c r="D12" s="59" t="str">
        <x:v>Editable</x:v>
      </x:c>
    </x:row>
    <x:row r="13">
      <x:c r="A13" s="56" t="str">
        <x:v>Default RFQ Response Period (Days)</x:v>
      </x:c>
      <x:c r="B13" s="57" t="n">
        <x:v>7</x:v>
      </x:c>
      <x:c r="C13" s="58" t="str">
        <x:v>Working</x:v>
      </x:c>
      <x:c r="D13" s="59" t="str">
        <x:v>Editable</x:v>
      </x:c>
    </x:row>
    <x:row r="14">
      <x:c r="A14" s="56" t="str">
        <x:v>Default PO Delivery Period (Days)</x:v>
      </x:c>
      <x:c r="B14" s="57" t="n">
        <x:v>14</x:v>
      </x:c>
      <x:c r="C14" s="58" t="str">
        <x:v>Working</x:v>
      </x:c>
      <x:c r="D14" s="59" t="str">
        <x:v>Editable</x:v>
      </x:c>
    </x:row>
    <x:row r="15">
      <x:c r="A15" s="56" t="str">
        <x:v>SST Status</x:v>
      </x:c>
      <x:c r="B15" s="57" t="str">
        <x:v>[TO BE CONFIRMED]</x:v>
      </x:c>
      <x:c r="C15" s="58" t="str">
        <x:v>Pending</x:v>
      </x:c>
      <x:c r="D15" s="59" t="str">
        <x:v>Do not apply SST unless legally applicable</x:v>
      </x:c>
    </x:row>
    <x:row r="16">
      <x:c r="A16" s="56" t="str">
        <x:v>SST Registration No.</x:v>
      </x:c>
      <x:c r="B16" s="57" t="str">
        <x:v>[IF APPLICABLE]</x:v>
      </x:c>
      <x:c r="C16" s="58" t="str">
        <x:v>Pending</x:v>
      </x:c>
      <x:c r="D16" s="59" t="str">
        <x:v>Leave blank if not applicable</x:v>
      </x:c>
    </x:row>
    <x:row r="17">
      <x:c r="A17" s="60" t="str">
        <x:v>Document Prefix</x:v>
      </x:c>
      <x:c r="B17" s="61" t="str">
        <x:v>NEX-GRN</x:v>
      </x:c>
      <x:c r="C17" s="62" t="str">
        <x:v>Controlled</x:v>
      </x:c>
      <x:c r="D17" s="63" t="str">
        <x:v>Use NEX-[TYPE]-YYYY-####</x:v>
      </x:c>
    </x:row>
    <x:row r="18">
      <x:c r="A18" s="20"/>
      <x:c r="B18" s="21"/>
      <x:c r="C18" s="21"/>
      <x:c r="D18" s="22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2" hidden="0" customWidth="1"/>
    <x:col min="5" max="5" width="28" hidden="0" customWidth="1"/>
    <x:col min="6" max="6" width="14" hidden="0" customWidth="1"/>
  </x:cols>
  <x:sheetData>
    <x:row r="1">
      <x:c r="A1" s="14" t="str">
        <x:v>Units</x:v>
      </x:c>
      <x:c r="B1" s="15" t="str">
        <x:v>Supplier Status</x:v>
      </x:c>
      <x:c r="C1" s="15" t="str">
        <x:v>PO Status</x:v>
      </x:c>
      <x:c r="D1" s="15" t="str">
        <x:v>Condition</x:v>
      </x:c>
      <x:c r="E1" s="15" t="str">
        <x:v>Supplier Category</x:v>
      </x:c>
      <x:c r="F1" s="16" t="str">
        <x:v>Currency</x:v>
      </x:c>
    </x:row>
    <x:row r="2">
      <x:c r="A2" s="81" t="str">
        <x:v>unit</x:v>
      </x:c>
      <x:c r="B2" s="58" t="str">
        <x:v>Prospect</x:v>
      </x:c>
      <x:c r="C2" s="58" t="str">
        <x:v>Draft</x:v>
      </x:c>
      <x:c r="D2" s="58" t="str">
        <x:v>Good</x:v>
      </x:c>
      <x:c r="E2" s="58" t="str">
        <x:v>Computer Hardware</x:v>
      </x:c>
      <x:c r="F2" s="59" t="str">
        <x:v>MYR</x:v>
      </x:c>
    </x:row>
    <x:row r="3">
      <x:c r="A3" s="81" t="str">
        <x:v>pcs</x:v>
      </x:c>
      <x:c r="B3" s="58" t="str">
        <x:v>Active</x:v>
      </x:c>
      <x:c r="C3" s="58" t="str">
        <x:v>Issued</x:v>
      </x:c>
      <x:c r="D3" s="58" t="str">
        <x:v>Damaged</x:v>
      </x:c>
      <x:c r="E3" s="58" t="str">
        <x:v>Software / Licence</x:v>
      </x:c>
      <x:c r="F3" s="59" t="str">
        <x:v>USD</x:v>
      </x:c>
    </x:row>
    <x:row r="4">
      <x:c r="A4" s="81" t="str">
        <x:v>set</x:v>
      </x:c>
      <x:c r="B4" s="58" t="str">
        <x:v>Approved</x:v>
      </x:c>
      <x:c r="C4" s="58" t="str">
        <x:v>Acknowledged</x:v>
      </x:c>
      <x:c r="D4" s="58" t="str">
        <x:v>Short</x:v>
      </x:c>
      <x:c r="E4" s="58" t="str">
        <x:v>Electronics</x:v>
      </x:c>
      <x:c r="F4" s="59" t="str">
        <x:v>SGD</x:v>
      </x:c>
    </x:row>
    <x:row r="5">
      <x:c r="A5" s="81" t="str">
        <x:v>lot</x:v>
      </x:c>
      <x:c r="B5" s="58" t="str">
        <x:v>Suspended</x:v>
      </x:c>
      <x:c r="C5" s="58" t="str">
        <x:v>Partially Received</x:v>
      </x:c>
      <x:c r="D5" s="58" t="str">
        <x:v>Excess</x:v>
      </x:c>
      <x:c r="E5" s="58" t="str">
        <x:v>Telecommunications</x:v>
      </x:c>
      <x:c r="F5" s="59" t="str">
        <x:v>EUR</x:v>
      </x:c>
    </x:row>
    <x:row r="6">
      <x:c r="A6" s="81" t="str">
        <x:v>box</x:v>
      </x:c>
      <x:c r="B6" s="58" t="str">
        <x:v>Inactive</x:v>
      </x:c>
      <x:c r="C6" s="58" t="str">
        <x:v>Closed</x:v>
      </x:c>
      <x:c r="D6" s="58" t="str">
        <x:v>Wrong Item</x:v>
      </x:c>
      <x:c r="E6" s="58" t="str">
        <x:v>Logistics / Courier</x:v>
      </x:c>
      <x:c r="F6" s="59" t="str">
        <x:v>GBP</x:v>
      </x:c>
    </x:row>
    <x:row r="7">
      <x:c r="A7" s="81" t="str">
        <x:v>pack</x:v>
      </x:c>
      <x:c r="B7" s="58"/>
      <x:c r="C7" s="58" t="str">
        <x:v>Cancelled</x:v>
      </x:c>
      <x:c r="D7" s="58" t="str">
        <x:v>Pending Inspection</x:v>
      </x:c>
      <x:c r="E7" s="58" t="str">
        <x:v>Professional Services</x:v>
      </x:c>
      <x:c r="F7" s="59"/>
    </x:row>
    <x:row r="8">
      <x:c r="A8" s="81" t="str">
        <x:v>license</x:v>
      </x:c>
      <x:c r="B8" s="58"/>
      <x:c r="C8" s="58"/>
      <x:c r="D8" s="58"/>
      <x:c r="E8" s="58" t="str">
        <x:v>Other</x:v>
      </x:c>
      <x:c r="F8" s="59"/>
    </x:row>
    <x:row r="9">
      <x:c r="A9" s="81" t="str">
        <x:v>month</x:v>
      </x:c>
      <x:c r="B9" s="58"/>
      <x:c r="C9" s="58"/>
      <x:c r="D9" s="58"/>
      <x:c r="E9" s="58"/>
      <x:c r="F9" s="59"/>
    </x:row>
    <x:row r="10">
      <x:c r="A10" s="81" t="str">
        <x:v>hour</x:v>
      </x:c>
      <x:c r="B10" s="58"/>
      <x:c r="C10" s="58"/>
      <x:c r="D10" s="58"/>
      <x:c r="E10" s="58"/>
      <x:c r="F10" s="59"/>
    </x:row>
    <x:row r="11">
      <x:c r="A11" s="81" t="str">
        <x:v>day</x:v>
      </x:c>
      <x:c r="B11" s="58"/>
      <x:c r="C11" s="58"/>
      <x:c r="D11" s="58"/>
      <x:c r="E11" s="58"/>
      <x:c r="F11" s="59"/>
    </x:row>
    <x:row r="12">
      <x:c r="A12" s="82" t="str">
        <x:v>service</x:v>
      </x:c>
      <x:c r="B12" s="62"/>
      <x:c r="C12" s="62"/>
      <x:c r="D12" s="62"/>
      <x:c r="E12" s="62"/>
      <x:c r="F12" s="6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10" hidden="0" customWidth="1"/>
    <x:col min="4" max="4" width="10" hidden="0" customWidth="1"/>
    <x:col min="5" max="5" width="15" hidden="0" customWidth="1"/>
    <x:col min="6" max="6" width="10" hidden="0" customWidth="1"/>
    <x:col min="7" max="7" width="15" hidden="0" customWidth="1"/>
    <x:col min="8" max="8" width="11" hidden="0" customWidth="1"/>
    <x:col min="9" max="9" width="14" hidden="0" customWidth="1"/>
    <x:col min="10" max="10" width="16" hidden="0" customWidth="1"/>
  </x:cols>
  <x:sheetData>
    <x:row r="1">
      <x:c r="B1" s="89" t="str">
        <x:f>Setup!B4</x:f>
        <x:v>Nexa Office Supplies Sdn. Bhd.</x:v>
      </x:c>
      <x:c r="C1" s="89"/>
      <x:c r="D1" s="89"/>
      <x:c r="E1" s="89"/>
      <x:c r="F1" s="89"/>
      <x:c r="G1" s="89"/>
      <x:c r="H1" s="97" t="str">
        <x:v>GOODS RECEIVED NOTE</x:v>
      </x:c>
      <x:c r="I1" s="97"/>
      <x:c r="J1" s="97"/>
    </x:row>
    <x:row r="2">
      <x:c r="B2" s="90" t="str">
        <x:f>"Reg. No.: "&amp;Setup!B5&amp;"  |  TIN: "&amp;Setup!B6</x:f>
        <x:v>Reg. No.: FIXTURE-000001  |  TIN: </x:v>
      </x:c>
      <x:c r="C2" s="90"/>
      <x:c r="D2" s="90"/>
      <x:c r="E2" s="90"/>
      <x:c r="F2" s="90"/>
      <x:c r="G2" s="90"/>
      <x:c r="H2" s="97"/>
      <x:c r="I2" s="97"/>
      <x:c r="J2" s="97"/>
    </x:row>
    <x:row r="3">
      <x:c r="B3" s="90" t="str">
        <x:f>Setup!B7</x:f>
        <x:v>1 Sample Road, Sample City (synthetic fixture)</x:v>
      </x:c>
      <x:c r="C3" s="90"/>
      <x:c r="D3" s="90"/>
      <x:c r="E3" s="90"/>
      <x:c r="F3" s="90"/>
      <x:c r="G3" s="90"/>
      <x:c r="H3" s="103" t="str">
        <x:v>Goods Received Note No.</x:v>
      </x:c>
      <x:c r="I3" s="104"/>
      <x:c r="J3" s="115" t="str">
        <x:v>NEX-GRN-2026-0001</x:v>
      </x:c>
    </x:row>
    <x:row r="4">
      <x:c r="B4" s="90" t="str">
        <x:f>Setup!B9&amp;"  |  "&amp;Setup!B8</x:f>
        <x:v>fixture@nexa.invalid  |  +60 0-000 0000</x:v>
      </x:c>
      <x:c r="C4" s="90"/>
      <x:c r="D4" s="90"/>
      <x:c r="E4" s="90"/>
      <x:c r="F4" s="90"/>
      <x:c r="G4" s="90"/>
      <x:c r="H4" s="105" t="str">
        <x:v>Date</x:v>
      </x:c>
      <x:c r="I4" s="101"/>
      <x:c r="J4" s="116" t="n">
        <x:f>TODAY()</x:f>
        <x:v>46246</x:v>
      </x:c>
    </x:row>
    <x:row r="5">
      <x:c r="H5" s="106" t="str">
        <x:v>Delivery Date</x:v>
      </x:c>
      <x:c r="I5" s="107"/>
      <x:c r="J5" s="123" t="n">
        <x:f>J4</x:f>
        <x:v>46246</x:v>
      </x:c>
    </x:row>
    <x:row r="6" ht="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8">
      <x:c r="A8" s="129" t="str">
        <x:v>SUPPLIER / DELIVERED BY</x:v>
      </x:c>
      <x:c r="B8" s="130" t="str">
        <x:v>SUPPLIER / DELIVERED BY</x:v>
      </x:c>
      <x:c r="C8" s="130" t="str">
        <x:v>SUPPLIER / DELIVERED BY</x:v>
      </x:c>
      <x:c r="D8" s="130" t="str">
        <x:v>SUPPLIER / DELIVERED BY</x:v>
      </x:c>
      <x:c r="E8" s="130" t="str">
        <x:v>SUPPLIER / DELIVERED BY</x:v>
      </x:c>
      <x:c r="F8" s="130" t="str">
        <x:v>SUPPLIER / DELIVERED BY</x:v>
      </x:c>
      <x:c r="G8" s="130" t="str">
        <x:v>SUPPLIER / DELIVERED BY</x:v>
      </x:c>
      <x:c r="H8" s="130" t="str">
        <x:v>SUPPLIER / DELIVERED BY</x:v>
      </x:c>
      <x:c r="I8" s="130" t="str">
        <x:v>SUPPLIER / DELIVERED BY</x:v>
      </x:c>
      <x:c r="J8" s="131" t="str">
        <x:v>SUPPLIER / DELIVERED BY</x:v>
      </x:c>
    </x:row>
    <x:row r="9">
      <x:c r="A9" s="103" t="str">
        <x:v>Supplier / Company</x:v>
      </x:c>
      <x:c r="B9" s="43"/>
      <x:c r="C9" s="43"/>
      <x:c r="D9" s="43"/>
      <x:c r="E9" s="43"/>
      <x:c r="F9" s="43"/>
      <x:c r="G9" s="104" t="str">
        <x:v>Registration No.</x:v>
      </x:c>
      <x:c r="H9" s="104"/>
      <x:c r="I9" s="43"/>
      <x:c r="J9" s="115"/>
    </x:row>
    <x:row r="10">
      <x:c r="A10" s="105" t="str">
        <x:v>Attention</x:v>
      </x:c>
      <x:c r="B10" s="44"/>
      <x:c r="C10" s="44"/>
      <x:c r="D10" s="44"/>
      <x:c r="E10" s="44"/>
      <x:c r="F10" s="44"/>
      <x:c r="G10" s="101" t="str">
        <x:v>Supplier TIN</x:v>
      </x:c>
      <x:c r="H10" s="101"/>
      <x:c r="I10" s="44"/>
      <x:c r="J10" s="145"/>
    </x:row>
    <x:row r="11">
      <x:c r="A11" s="105" t="str">
        <x:v>Address</x:v>
      </x:c>
      <x:c r="B11" s="44"/>
      <x:c r="C11" s="44"/>
      <x:c r="D11" s="44"/>
      <x:c r="E11" s="44"/>
      <x:c r="F11" s="44"/>
      <x:c r="G11" s="101" t="str">
        <x:v>Email</x:v>
      </x:c>
      <x:c r="H11" s="101"/>
      <x:c r="I11" s="44"/>
      <x:c r="J11" s="145"/>
    </x:row>
    <x:row r="12">
      <x:c r="A12" s="106"/>
      <x:c r="B12" s="45"/>
      <x:c r="C12" s="45"/>
      <x:c r="D12" s="45"/>
      <x:c r="E12" s="45"/>
      <x:c r="F12" s="45"/>
      <x:c r="G12" s="107" t="str">
        <x:v>Phone</x:v>
      </x:c>
      <x:c r="H12" s="107"/>
      <x:c r="I12" s="45"/>
      <x:c r="J12" s="117"/>
    </x:row>
    <x:row r="14">
      <x:c r="A14" s="129" t="str">
        <x:v>RECEIPT REFERENCES</x:v>
      </x:c>
      <x:c r="B14" s="130" t="str">
        <x:v>RECEIPT REFERENCES</x:v>
      </x:c>
      <x:c r="C14" s="130" t="str">
        <x:v>RECEIPT REFERENCES</x:v>
      </x:c>
      <x:c r="D14" s="130" t="str">
        <x:v>RECEIPT REFERENCES</x:v>
      </x:c>
      <x:c r="E14" s="130" t="str">
        <x:v>RECEIPT REFERENCES</x:v>
      </x:c>
      <x:c r="F14" s="130" t="str">
        <x:v>RECEIPT REFERENCES</x:v>
      </x:c>
      <x:c r="G14" s="130" t="str">
        <x:v>RECEIPT REFERENCES</x:v>
      </x:c>
      <x:c r="H14" s="130" t="str">
        <x:v>RECEIPT REFERENCES</x:v>
      </x:c>
      <x:c r="I14" s="130" t="str">
        <x:v>RECEIPT REFERENCES</x:v>
      </x:c>
      <x:c r="J14" s="131" t="str">
        <x:v>RECEIPT REFERENCES</x:v>
      </x:c>
    </x:row>
    <x:row r="15">
      <x:c r="A15" s="103" t="str">
        <x:v>Purchase Order No.</x:v>
      </x:c>
      <x:c r="B15" s="43"/>
      <x:c r="C15" s="43"/>
      <x:c r="D15" s="43"/>
      <x:c r="E15" s="104" t="str">
        <x:v>Supplier DO / Ref.</x:v>
      </x:c>
      <x:c r="F15" s="43"/>
      <x:c r="G15" s="43"/>
      <x:c r="H15" s="43"/>
      <x:c r="I15" s="43"/>
      <x:c r="J15" s="115"/>
    </x:row>
    <x:row r="16">
      <x:c r="A16" s="106" t="str">
        <x:v>Received At</x:v>
      </x:c>
      <x:c r="B16" s="45"/>
      <x:c r="C16" s="45"/>
      <x:c r="D16" s="45"/>
      <x:c r="E16" s="45"/>
      <x:c r="F16" s="45"/>
      <x:c r="G16" s="107" t="str">
        <x:v>Receiver / Store</x:v>
      </x:c>
      <x:c r="H16" s="45"/>
      <x:c r="I16" s="45"/>
      <x:c r="J16" s="117"/>
    </x:row>
    <x:row r="18">
      <x:c r="A18" s="149" t="str">
        <x:v>No.</x:v>
      </x:c>
      <x:c r="B18" s="150" t="str">
        <x:v>Description</x:v>
      </x:c>
      <x:c r="C18" s="150" t="str">
        <x:v>Qty Ordered</x:v>
      </x:c>
      <x:c r="D18" s="150" t="str">
        <x:v>Qty Received</x:v>
      </x:c>
      <x:c r="E18" s="150" t="str">
        <x:v>Qty Rejected</x:v>
      </x:c>
      <x:c r="F18" s="150" t="str">
        <x:v>Qty Accepted</x:v>
      </x:c>
      <x:c r="G18" s="150" t="str">
        <x:v>Unit</x:v>
      </x:c>
      <x:c r="H18" s="150" t="str">
        <x:v>Condition</x:v>
      </x:c>
      <x:c r="I18" s="150" t="str">
        <x:v>Serial / Batch / Ref.</x:v>
      </x:c>
      <x:c r="J18" s="151" t="str">
        <x:v>Remarks</x:v>
      </x:c>
    </x:row>
    <x:row r="19">
      <x:c r="A19" s="155" t="n">
        <x:v>1</x:v>
      </x:c>
      <x:c r="B19" s="43"/>
      <x:c r="C19" s="43"/>
      <x:c r="D19" s="43"/>
      <x:c r="E19" s="43"/>
      <x:c r="F19" s="161" t="str">
        <x:f>IF(D19="","",MAX(D19-E19,0))</x:f>
      </x:c>
      <x:c r="G19" s="43"/>
      <x:c r="H19" s="43"/>
      <x:c r="I19" s="43"/>
      <x:c r="J19" s="115"/>
    </x:row>
    <x:row r="20">
      <x:c r="A20" s="156" t="n">
        <x:v>2</x:v>
      </x:c>
      <x:c r="B20" s="44"/>
      <x:c r="C20" s="44"/>
      <x:c r="D20" s="44"/>
      <x:c r="E20" s="44"/>
      <x:c r="F20" s="162" t="str">
        <x:f>IF(D20="","",MAX(D20-E20,0))</x:f>
      </x:c>
      <x:c r="G20" s="44"/>
      <x:c r="H20" s="44"/>
      <x:c r="I20" s="44"/>
      <x:c r="J20" s="145"/>
    </x:row>
    <x:row r="21">
      <x:c r="A21" s="156" t="n">
        <x:v>3</x:v>
      </x:c>
      <x:c r="B21" s="44"/>
      <x:c r="C21" s="44"/>
      <x:c r="D21" s="44"/>
      <x:c r="E21" s="44"/>
      <x:c r="F21" s="162" t="str">
        <x:f>IF(D21="","",MAX(D21-E21,0))</x:f>
      </x:c>
      <x:c r="G21" s="44"/>
      <x:c r="H21" s="44"/>
      <x:c r="I21" s="44"/>
      <x:c r="J21" s="145"/>
    </x:row>
    <x:row r="22">
      <x:c r="A22" s="156" t="n">
        <x:v>4</x:v>
      </x:c>
      <x:c r="B22" s="44"/>
      <x:c r="C22" s="44"/>
      <x:c r="D22" s="44"/>
      <x:c r="E22" s="44"/>
      <x:c r="F22" s="162" t="str">
        <x:f>IF(D22="","",MAX(D22-E22,0))</x:f>
      </x:c>
      <x:c r="G22" s="44"/>
      <x:c r="H22" s="44"/>
      <x:c r="I22" s="44"/>
      <x:c r="J22" s="145"/>
    </x:row>
    <x:row r="23">
      <x:c r="A23" s="156" t="n">
        <x:v>5</x:v>
      </x:c>
      <x:c r="B23" s="44"/>
      <x:c r="C23" s="44"/>
      <x:c r="D23" s="44"/>
      <x:c r="E23" s="44"/>
      <x:c r="F23" s="162" t="str">
        <x:f>IF(D23="","",MAX(D23-E23,0))</x:f>
      </x:c>
      <x:c r="G23" s="44"/>
      <x:c r="H23" s="44"/>
      <x:c r="I23" s="44"/>
      <x:c r="J23" s="145"/>
    </x:row>
    <x:row r="24">
      <x:c r="A24" s="156" t="n">
        <x:v>6</x:v>
      </x:c>
      <x:c r="B24" s="44"/>
      <x:c r="C24" s="44"/>
      <x:c r="D24" s="44"/>
      <x:c r="E24" s="44"/>
      <x:c r="F24" s="162" t="str">
        <x:f>IF(D24="","",MAX(D24-E24,0))</x:f>
      </x:c>
      <x:c r="G24" s="44"/>
      <x:c r="H24" s="44"/>
      <x:c r="I24" s="44"/>
      <x:c r="J24" s="145"/>
    </x:row>
    <x:row r="25">
      <x:c r="A25" s="156" t="n">
        <x:v>7</x:v>
      </x:c>
      <x:c r="B25" s="44"/>
      <x:c r="C25" s="44"/>
      <x:c r="D25" s="44"/>
      <x:c r="E25" s="44"/>
      <x:c r="F25" s="162" t="str">
        <x:f>IF(D25="","",MAX(D25-E25,0))</x:f>
      </x:c>
      <x:c r="G25" s="44"/>
      <x:c r="H25" s="44"/>
      <x:c r="I25" s="44"/>
      <x:c r="J25" s="145"/>
    </x:row>
    <x:row r="26">
      <x:c r="A26" s="156" t="n">
        <x:v>8</x:v>
      </x:c>
      <x:c r="B26" s="44"/>
      <x:c r="C26" s="44"/>
      <x:c r="D26" s="44"/>
      <x:c r="E26" s="44"/>
      <x:c r="F26" s="162" t="str">
        <x:f>IF(D26="","",MAX(D26-E26,0))</x:f>
      </x:c>
      <x:c r="G26" s="44"/>
      <x:c r="H26" s="44"/>
      <x:c r="I26" s="44"/>
      <x:c r="J26" s="145"/>
    </x:row>
    <x:row r="27">
      <x:c r="A27" s="156" t="n">
        <x:v>9</x:v>
      </x:c>
      <x:c r="B27" s="44"/>
      <x:c r="C27" s="44"/>
      <x:c r="D27" s="44"/>
      <x:c r="E27" s="44"/>
      <x:c r="F27" s="162" t="str">
        <x:f>IF(D27="","",MAX(D27-E27,0))</x:f>
      </x:c>
      <x:c r="G27" s="44"/>
      <x:c r="H27" s="44"/>
      <x:c r="I27" s="44"/>
      <x:c r="J27" s="145"/>
    </x:row>
    <x:row r="28">
      <x:c r="A28" s="156" t="n">
        <x:v>10</x:v>
      </x:c>
      <x:c r="B28" s="44"/>
      <x:c r="C28" s="44"/>
      <x:c r="D28" s="44"/>
      <x:c r="E28" s="44"/>
      <x:c r="F28" s="162" t="str">
        <x:f>IF(D28="","",MAX(D28-E28,0))</x:f>
      </x:c>
      <x:c r="G28" s="44"/>
      <x:c r="H28" s="44"/>
      <x:c r="I28" s="44"/>
      <x:c r="J28" s="145"/>
    </x:row>
    <x:row r="29">
      <x:c r="A29" s="156" t="n">
        <x:v>11</x:v>
      </x:c>
      <x:c r="B29" s="44"/>
      <x:c r="C29" s="44"/>
      <x:c r="D29" s="44"/>
      <x:c r="E29" s="44"/>
      <x:c r="F29" s="162" t="str">
        <x:f>IF(D29="","",MAX(D29-E29,0))</x:f>
      </x:c>
      <x:c r="G29" s="44"/>
      <x:c r="H29" s="44"/>
      <x:c r="I29" s="44"/>
      <x:c r="J29" s="145"/>
    </x:row>
    <x:row r="30">
      <x:c r="A30" s="156" t="n">
        <x:v>12</x:v>
      </x:c>
      <x:c r="B30" s="44"/>
      <x:c r="C30" s="44"/>
      <x:c r="D30" s="44"/>
      <x:c r="E30" s="44"/>
      <x:c r="F30" s="162" t="str">
        <x:f>IF(D30="","",MAX(D30-E30,0))</x:f>
      </x:c>
      <x:c r="G30" s="44"/>
      <x:c r="H30" s="44"/>
      <x:c r="I30" s="44"/>
      <x:c r="J30" s="145"/>
    </x:row>
    <x:row r="31">
      <x:c r="A31" s="156" t="n">
        <x:v>13</x:v>
      </x:c>
      <x:c r="B31" s="44"/>
      <x:c r="C31" s="44"/>
      <x:c r="D31" s="44"/>
      <x:c r="E31" s="44"/>
      <x:c r="F31" s="162" t="str">
        <x:f>IF(D31="","",MAX(D31-E31,0))</x:f>
      </x:c>
      <x:c r="G31" s="44"/>
      <x:c r="H31" s="44"/>
      <x:c r="I31" s="44"/>
      <x:c r="J31" s="145"/>
    </x:row>
    <x:row r="32">
      <x:c r="A32" s="156" t="n">
        <x:v>14</x:v>
      </x:c>
      <x:c r="B32" s="44"/>
      <x:c r="C32" s="44"/>
      <x:c r="D32" s="44"/>
      <x:c r="E32" s="44"/>
      <x:c r="F32" s="162" t="str">
        <x:f>IF(D32="","",MAX(D32-E32,0))</x:f>
      </x:c>
      <x:c r="G32" s="44"/>
      <x:c r="H32" s="44"/>
      <x:c r="I32" s="44"/>
      <x:c r="J32" s="145"/>
    </x:row>
    <x:row r="33">
      <x:c r="A33" s="157" t="n">
        <x:v>15</x:v>
      </x:c>
      <x:c r="B33" s="45"/>
      <x:c r="C33" s="45"/>
      <x:c r="D33" s="45"/>
      <x:c r="E33" s="45"/>
      <x:c r="F33" s="163" t="str">
        <x:f>IF(D33="","",MAX(D33-E33,0))</x:f>
      </x:c>
      <x:c r="G33" s="45"/>
      <x:c r="H33" s="45"/>
      <x:c r="I33" s="45"/>
      <x:c r="J33" s="117"/>
    </x:row>
    <x:row r="35">
      <x:c r="A35" s="129" t="str">
        <x:v>RECEIPT SUMMARY</x:v>
      </x:c>
      <x:c r="B35" s="130" t="str">
        <x:v>RECEIPT SUMMARY</x:v>
      </x:c>
      <x:c r="C35" s="130" t="str">
        <x:v>RECEIPT SUMMARY</x:v>
      </x:c>
      <x:c r="D35" s="130" t="str">
        <x:v>RECEIPT SUMMARY</x:v>
      </x:c>
      <x:c r="E35" s="130" t="str">
        <x:v>RECEIPT SUMMARY</x:v>
      </x:c>
      <x:c r="F35" s="130" t="str">
        <x:v>RECEIPT SUMMARY</x:v>
      </x:c>
      <x:c r="G35" s="130" t="str">
        <x:v>RECEIPT SUMMARY</x:v>
      </x:c>
      <x:c r="H35" s="130" t="str">
        <x:v>RECEIPT SUMMARY</x:v>
      </x:c>
      <x:c r="I35" s="130" t="str">
        <x:v>RECEIPT SUMMARY</x:v>
      </x:c>
      <x:c r="J35" s="131" t="str">
        <x:v>RECEIPT SUMMARY</x:v>
      </x:c>
    </x:row>
    <x:row r="36">
      <x:c r="A36" s="103" t="str">
        <x:v>Total Qty Ordered</x:v>
      </x:c>
      <x:c r="B36" s="104"/>
      <x:c r="C36" s="104"/>
      <x:c r="D36" s="104"/>
      <x:c r="E36" s="161" t="n">
        <x:f>SUM(C19:C33)</x:f>
        <x:v>0</x:v>
      </x:c>
      <x:c r="F36" s="167"/>
      <x:c r="G36" s="103" t="str">
        <x:v>Short / Unreceived Qty</x:v>
      </x:c>
      <x:c r="H36" s="104"/>
      <x:c r="I36" s="104"/>
      <x:c r="J36" s="167" t="n">
        <x:f>MAX(E36-E37,0)</x:f>
        <x:v>0</x:v>
      </x:c>
    </x:row>
    <x:row r="37">
      <x:c r="A37" s="105" t="str">
        <x:v>Total Qty Received</x:v>
      </x:c>
      <x:c r="B37" s="101"/>
      <x:c r="C37" s="101"/>
      <x:c r="D37" s="101"/>
      <x:c r="E37" s="162" t="n">
        <x:f>SUM(D19:D33)</x:f>
        <x:v>0</x:v>
      </x:c>
      <x:c r="F37" s="168"/>
      <x:c r="G37" s="105" t="str">
        <x:v>Rejected Qty</x:v>
      </x:c>
      <x:c r="H37" s="101"/>
      <x:c r="I37" s="101"/>
      <x:c r="J37" s="168" t="n">
        <x:f>E38</x:f>
        <x:v>0</x:v>
      </x:c>
    </x:row>
    <x:row r="38">
      <x:c r="A38" s="105" t="str">
        <x:v>Total Qty Rejected</x:v>
      </x:c>
      <x:c r="B38" s="101"/>
      <x:c r="C38" s="101"/>
      <x:c r="D38" s="101"/>
      <x:c r="E38" s="162" t="n">
        <x:f>SUM(E19:E33)</x:f>
        <x:v>0</x:v>
      </x:c>
      <x:c r="F38" s="168"/>
      <x:c r="G38" s="105" t="str">
        <x:v>Receipt Status</x:v>
      </x:c>
      <x:c r="H38" s="101"/>
      <x:c r="I38" s="101"/>
      <x:c r="J38" s="168" t="str">
        <x:f>IF(AND(J36=0,J37=0),"Complete","Discrepancy")</x:f>
        <x:v>Complete</x:v>
      </x:c>
    </x:row>
    <x:row r="39">
      <x:c r="A39" s="106" t="str">
        <x:v>Total Qty Accepted</x:v>
      </x:c>
      <x:c r="B39" s="107"/>
      <x:c r="C39" s="107"/>
      <x:c r="D39" s="107"/>
      <x:c r="E39" s="163" t="n">
        <x:f>SUM(F19:F33)</x:f>
        <x:v>0</x:v>
      </x:c>
      <x:c r="F39" s="121"/>
      <x:c r="G39" s="106" t="str">
        <x:v>Follow-up Required</x:v>
      </x:c>
      <x:c r="H39" s="107"/>
      <x:c r="I39" s="107"/>
      <x:c r="J39" s="121" t="str">
        <x:f>IF(J38="Complete","No","Yes")</x:f>
        <x:v>No</x:v>
      </x:c>
    </x:row>
    <x:row r="41">
      <x:c r="A41" s="129" t="str">
        <x:v>DISCREPANCY / INSPECTION NOTES</x:v>
      </x:c>
      <x:c r="B41" s="130" t="str">
        <x:v>DISCREPANCY / INSPECTION NOTES</x:v>
      </x:c>
      <x:c r="C41" s="130" t="str">
        <x:v>DISCREPANCY / INSPECTION NOTES</x:v>
      </x:c>
      <x:c r="D41" s="130" t="str">
        <x:v>DISCREPANCY / INSPECTION NOTES</x:v>
      </x:c>
      <x:c r="E41" s="130" t="str">
        <x:v>DISCREPANCY / INSPECTION NOTES</x:v>
      </x:c>
      <x:c r="F41" s="130" t="str">
        <x:v>DISCREPANCY / INSPECTION NOTES</x:v>
      </x:c>
      <x:c r="G41" s="130" t="str">
        <x:v>DISCREPANCY / INSPECTION NOTES</x:v>
      </x:c>
      <x:c r="H41" s="130" t="str">
        <x:v>DISCREPANCY / INSPECTION NOTES</x:v>
      </x:c>
      <x:c r="I41" s="130" t="str">
        <x:v>DISCREPANCY / INSPECTION NOTES</x:v>
      </x:c>
      <x:c r="J41" s="131" t="str">
        <x:v>DISCREPANCY / INSPECTION NOTES</x:v>
      </x:c>
    </x:row>
    <x:row r="42">
      <x:c r="A42" s="171"/>
      <x:c r="B42" s="43"/>
      <x:c r="C42" s="43"/>
      <x:c r="D42" s="43"/>
      <x:c r="E42" s="43"/>
      <x:c r="F42" s="43"/>
      <x:c r="G42" s="43"/>
      <x:c r="H42" s="43"/>
      <x:c r="I42" s="43"/>
      <x:c r="J42" s="115"/>
    </x:row>
    <x:row r="43">
      <x:c r="A43" s="172"/>
      <x:c r="B43" s="44"/>
      <x:c r="C43" s="44"/>
      <x:c r="D43" s="44"/>
      <x:c r="E43" s="44"/>
      <x:c r="F43" s="44"/>
      <x:c r="G43" s="44"/>
      <x:c r="H43" s="44"/>
      <x:c r="I43" s="44"/>
      <x:c r="J43" s="145"/>
    </x:row>
    <x:row r="44">
      <x:c r="A44" s="172"/>
      <x:c r="B44" s="44"/>
      <x:c r="C44" s="44"/>
      <x:c r="D44" s="44"/>
      <x:c r="E44" s="44"/>
      <x:c r="F44" s="44"/>
      <x:c r="G44" s="44"/>
      <x:c r="H44" s="44"/>
      <x:c r="I44" s="44"/>
      <x:c r="J44" s="145"/>
    </x:row>
    <x:row r="45">
      <x:c r="A45" s="173"/>
      <x:c r="B45" s="45"/>
      <x:c r="C45" s="45"/>
      <x:c r="D45" s="45"/>
      <x:c r="E45" s="45"/>
      <x:c r="F45" s="45"/>
      <x:c r="G45" s="45"/>
      <x:c r="H45" s="45"/>
      <x:c r="I45" s="45"/>
      <x:c r="J45" s="117"/>
    </x:row>
    <x:row r="47">
      <x:c r="A47" s="103" t="str">
        <x:v>Received By</x:v>
      </x:c>
      <x:c r="B47" s="104"/>
      <x:c r="C47" s="104"/>
      <x:c r="D47" s="104" t="str">
        <x:v>Checked By</x:v>
      </x:c>
      <x:c r="E47" s="104"/>
      <x:c r="F47" s="104"/>
      <x:c r="G47" s="104" t="str">
        <x:v>Approved / Released By</x:v>
      </x:c>
      <x:c r="H47" s="104"/>
      <x:c r="I47" s="104"/>
      <x:c r="J47" s="179"/>
    </x:row>
    <x:row r="48">
      <x:c r="A48" s="172"/>
      <x:c r="B48" s="44"/>
      <x:c r="C48" s="44"/>
      <x:c r="D48" s="44"/>
      <x:c r="E48" s="44"/>
      <x:c r="F48" s="44"/>
      <x:c r="G48" s="44"/>
      <x:c r="H48" s="44"/>
      <x:c r="I48" s="44"/>
      <x:c r="J48" s="145"/>
    </x:row>
    <x:row r="49">
      <x:c r="A49" s="172"/>
      <x:c r="B49" s="44"/>
      <x:c r="C49" s="44"/>
      <x:c r="D49" s="44"/>
      <x:c r="E49" s="44"/>
      <x:c r="F49" s="44"/>
      <x:c r="G49" s="44"/>
      <x:c r="H49" s="44"/>
      <x:c r="I49" s="44"/>
      <x:c r="J49" s="145"/>
    </x:row>
    <x:row r="50">
      <x:c r="A50" s="173"/>
      <x:c r="B50" s="45"/>
      <x:c r="C50" s="45"/>
      <x:c r="D50" s="45"/>
      <x:c r="E50" s="45"/>
      <x:c r="F50" s="45"/>
      <x:c r="G50" s="45"/>
      <x:c r="H50" s="45"/>
      <x:c r="I50" s="45"/>
      <x:c r="J50" s="117"/>
    </x:row>
    <x:row r="53" ht="20" customHeight="1">
      <x:c r="A53" s="183" t="str">
        <x:f>Setup!B4&amp;"  |  Reg. No.: "&amp;Setup!B5&amp;"  |  TIN: "&amp;Setup!B6</x:f>
        <x:v>Nexa Office Supplies Sdn. Bhd.  |  Reg. No.: FIXTURE-000001  |  TIN: </x:v>
      </x:c>
      <x:c r="B53" s="183"/>
      <x:c r="C53" s="183"/>
      <x:c r="D53" s="183"/>
      <x:c r="E53" s="183"/>
      <x:c r="F53" s="183"/>
      <x:c r="G53" s="183"/>
      <x:c r="H53" s="183"/>
      <x:c r="I53" s="183"/>
      <x:c r="J53" s="183"/>
    </x:row>
  </x:sheetData>
  <x:mergeCells>
    <x:mergeCell ref="B1:G1"/>
    <x:mergeCell ref="B2:G2"/>
    <x:mergeCell ref="B3:G3"/>
    <x:mergeCell ref="B4:G4"/>
    <x:mergeCell ref="H1:J2"/>
    <x:mergeCell ref="H3:I3"/>
    <x:mergeCell ref="H4:I4"/>
    <x:mergeCell ref="H5:I5"/>
    <x:mergeCell ref="A6:J6"/>
    <x:mergeCell ref="A8:J8"/>
    <x:mergeCell ref="B9:F9"/>
    <x:mergeCell ref="B10:F10"/>
    <x:mergeCell ref="B11:F12"/>
    <x:mergeCell ref="G9:H9"/>
    <x:mergeCell ref="I9:J9"/>
    <x:mergeCell ref="G10:H10"/>
    <x:mergeCell ref="I10:J10"/>
    <x:mergeCell ref="G11:H11"/>
    <x:mergeCell ref="I11:J11"/>
    <x:mergeCell ref="G12:H12"/>
    <x:mergeCell ref="I12:J12"/>
    <x:mergeCell ref="A14:J14"/>
    <x:mergeCell ref="B15:D15"/>
    <x:mergeCell ref="F15:J15"/>
    <x:mergeCell ref="B16:F16"/>
    <x:mergeCell ref="H16:J16"/>
    <x:mergeCell ref="A35:J35"/>
    <x:mergeCell ref="A36:D36"/>
    <x:mergeCell ref="E36:F36"/>
    <x:mergeCell ref="A37:D37"/>
    <x:mergeCell ref="E37:F37"/>
    <x:mergeCell ref="A38:D38"/>
    <x:mergeCell ref="E38:F38"/>
    <x:mergeCell ref="A39:D39"/>
    <x:mergeCell ref="E39:F39"/>
    <x:mergeCell ref="G36:I36"/>
    <x:mergeCell ref="G37:I37"/>
    <x:mergeCell ref="G38:I38"/>
    <x:mergeCell ref="G39:I39"/>
    <x:mergeCell ref="A41:J41"/>
    <x:mergeCell ref="A42:J45"/>
    <x:mergeCell ref="A47:C47"/>
    <x:mergeCell ref="D47:F47"/>
    <x:mergeCell ref="G47:J47"/>
    <x:mergeCell ref="A48:C50"/>
    <x:mergeCell ref="D48:F50"/>
    <x:mergeCell ref="G48:J50"/>
    <x:mergeCell ref="A53:J53"/>
  </x:mergeCells>
  <x:conditionalFormatting sqref="J38:J38">
    <x:cfRule type="expression" dxfId="0" priority="1">
      <x:formula>J38="Discrepancy"</x:formula>
    </x:cfRule>
    <x:cfRule type="expression" dxfId="1" priority="2">
      <x:formula>J38="Complete"</x:formula>
    </x:cfRule>
  </x:conditionalFormatting>
  <x:dataValidations count="2">
    <x:dataValidation type="list" sqref="G19:G33">
      <x:formula1>"unit,pcs,set,lot,box,pack,license,month,hour,day,service"</x:formula1>
    </x:dataValidation>
    <x:dataValidation type="list" sqref="H19:H33">
      <x:formula1>"Good,Damaged,Short,Excess,Wrong Item,Pending Inspection"</x:formula1>
    </x:dataValidation>
  </x:dataValidations>
  <x:pageMargins left="0.7" right="0.7" top="0.75" bottom="0.75" header="0.3" footer="0.3"/>
  <x:drawing xmlns:r="http://schemas.openxmlformats.org/officeDocument/2006/relationships" r:id="Rfb4d11ea4254482b"/>
</x:worksheet>
</file>
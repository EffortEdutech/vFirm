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  <x:v>3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DUE SOON</x:v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46283</x:v>
      </x:c>
      <x:c r="W20" s="36"/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Closed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 t="str">
        <x:f>IF(OR(A39="",B39="",C39="",D39=""),"",A39&amp;"-"&amp;B39&amp;"-"&amp;TEXT(C39,"0000")&amp;"-"&amp;TEXT(D39,"0000"))</x:f>
        <x:v>NEX-PO-2026-0002</x:v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  <x:v>10</x:v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>Open</x:v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 t="str">
        <x:f>IF(E39="","",IF(COUNTIF($E$7:$E$506,E39)&gt;1,"DUPLICATE","OK"))</x:f>
        <x:v>OK</x:v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inlineStr">
        <x:is>
          <x:t>ABC</x:t>
        </x:is>
      </x:c>
      <x:c r="B64" s="36" t="inlineStr">
        <x:is>
          <x:t>QT</x:t>
        </x:is>
      </x:c>
      <x:c r="C64" s="38">
        <x:v>2026</x:v>
      </x:c>
      <x:c r="D64" s="38">
        <x:v>50</x:v>
      </x:c>
      <x:c r="E64" s="36" t="str">
        <x:f>IF(OR(A64="",B64="",C64="",D64=""),"",A64&amp;"-"&amp;B64&amp;"-"&amp;TEXT(C64,"0000")&amp;"-"&amp;TEXT(D64,"0000"))</x:f>
        <x:v>ABC-QT-2026-0050</x:v>
      </x:c>
      <x:c r="F64" s="36" t="inlineStr">
        <x:is>
          <x:t>R0</x:t>
        </x:is>
      </x:c>
      <x:c r="G64" s="40">
        <x:v>46300</x:v>
      </x:c>
      <x:c r="H64" s="40"/>
      <x:c r="I64" s="36" t="inlineStr">
        <x:is>
          <x:t>Customer</x:t>
        </x:is>
      </x:c>
      <x:c r="J64" s="36" t="inlineStr">
        <x:is>
          <x:t>Sample Customer</x:t>
        </x:is>
      </x:c>
      <x:c r="K64" s="36" t="inlineStr">
        <x:is>
          <x:t>Wrong company code</x:t>
        </x:is>
      </x:c>
      <x:c r="L64" s="44">
        <x:v>1000</x:v>
      </x:c>
      <x:c r="M64" s="36" t="inlineStr">
        <x:is>
          <x:t>MYR</x:t>
        </x:is>
      </x:c>
      <x:c r="N64" s="36" t="inlineStr">
        <x:is>
          <x:t>Draft</x:t>
        </x:is>
      </x:c>
      <x:c r="O64" s="36" t="inlineStr">
        <x:is>
          <x:t>Aisha R.</x:t>
        </x:is>
      </x:c>
      <x:c r="P64" s="40"/>
      <x:c r="Q64" s="36" t="str">
        <x:f>IF(P64="","",P64-TODAY())</x:f>
        <x:v/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  <x:v>No due date</x:v>
      </x:c>
      <x:c r="S64" s="36"/>
      <x:c r="T64" s="36"/>
      <x:c r="U64" s="36"/>
      <x:c r="V64" s="42">
        <x:v>46300</x:v>
      </x:c>
      <x:c r="W64" s="36"/>
      <x:c r="X64" s="36" t="str">
        <x:f>IF(E64="","",IF(COUNTIF($E$7:$E$506,E64)&gt;1,"DUPLICATE","OK"))</x:f>
        <x:v>OK</x:v>
      </x:c>
    </x:row>
    <x:row r="65">
      <x:c r="A65" s="36" t="inlineStr">
        <x:is>
          <x:t>NEX</x:t>
        </x:is>
      </x:c>
      <x:c r="B65" s="36" t="inlineStr">
        <x:is>
          <x:t>XYZ</x:t>
        </x:is>
      </x:c>
      <x:c r="C65" s="38">
        <x:v>2026</x:v>
      </x:c>
      <x:c r="D65" s="38">
        <x:v>51</x:v>
      </x:c>
      <x:c r="E65" s="36" t="str">
        <x:f>IF(OR(A65="",B65="",C65="",D65=""),"",A65&amp;"-"&amp;B65&amp;"-"&amp;TEXT(C65,"0000")&amp;"-"&amp;TEXT(D65,"0000"))</x:f>
        <x:v>NEX-XYZ-2026-0051</x:v>
      </x:c>
      <x:c r="F65" s="36" t="inlineStr">
        <x:is>
          <x:t>R0</x:t>
        </x:is>
      </x:c>
      <x:c r="G65" s="40">
        <x:v>46300</x:v>
      </x:c>
      <x:c r="H65" s="40"/>
      <x:c r="I65" s="36" t="inlineStr">
        <x:is>
          <x:t>Customer</x:t>
        </x:is>
      </x:c>
      <x:c r="J65" s="36" t="inlineStr">
        <x:is>
          <x:t>Sample Customer</x:t>
        </x:is>
      </x:c>
      <x:c r="K65" s="36" t="inlineStr">
        <x:is>
          <x:t>Unknown document type</x:t>
        </x:is>
      </x:c>
      <x:c r="L65" s="44">
        <x:v>1000</x:v>
      </x:c>
      <x:c r="M65" s="36" t="inlineStr">
        <x:is>
          <x:t>MYR</x:t>
        </x:is>
      </x:c>
      <x:c r="N65" s="36" t="inlineStr">
        <x:is>
          <x:t>Draft</x:t>
        </x:is>
      </x:c>
      <x:c r="O65" s="36" t="inlineStr">
        <x:is>
          <x:t>Aisha R.</x:t>
        </x:is>
      </x:c>
      <x:c r="P65" s="40"/>
      <x:c r="Q65" s="36" t="str">
        <x:f>IF(P65="","",P65-TODAY())</x:f>
        <x:v/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  <x:v>No due date</x:v>
      </x:c>
      <x:c r="S65" s="36"/>
      <x:c r="T65" s="36"/>
      <x:c r="U65" s="36"/>
      <x:c r="V65" s="42">
        <x:v>46300</x:v>
      </x:c>
      <x:c r="W65" s="36"/>
      <x:c r="X65" s="36" t="str">
        <x:f>IF(E65="","",IF(COUNTIF($E$7:$E$506,E65)&gt;1,"DUPLICATE","OK"))</x:f>
        <x:v>OK</x:v>
      </x:c>
    </x:row>
    <x:row r="66">
      <x:c r="A66" s="36" t="inlineStr">
        <x:is>
          <x:t>NEX</x:t>
        </x:is>
      </x:c>
      <x:c r="B66" s="36" t="inlineStr">
        <x:is>
          <x:t>QT</x:t>
        </x:is>
      </x:c>
      <x:c r="C66" s="38">
        <x:v>2026</x:v>
      </x:c>
      <x:c r="D66" s="38">
        <x:v>52</x:v>
      </x:c>
      <x:c r="E66" s="36" t="str">
        <x:f>IF(OR(A66="",B66="",C66="",D66=""),"",A66&amp;"-"&amp;B66&amp;"-"&amp;TEXT(C66,"0000")&amp;"-"&amp;TEXT(D66,"0000"))</x:f>
        <x:v>NEX-QT-2026-0052</x:v>
      </x:c>
      <x:c r="F66" s="36" t="inlineStr">
        <x:is>
          <x:t>R0</x:t>
        </x:is>
      </x:c>
      <x:c r="G66" s="40">
        <x:v>46300</x:v>
      </x:c>
      <x:c r="H66" s="40"/>
      <x:c r="I66" s="36" t="inlineStr">
        <x:is>
          <x:t>Customer</x:t>
        </x:is>
      </x:c>
      <x:c r="J66" s="36" t="inlineStr">
        <x:is>
          <x:t>Sample Customer</x:t>
        </x:is>
      </x:c>
      <x:c r="K66" s="36" t="inlineStr">
        <x:is>
          <x:t>Status not in controlled list</x:t>
        </x:is>
      </x:c>
      <x:c r="L66" s="44">
        <x:v>1000</x:v>
      </x:c>
      <x:c r="M66" s="36" t="inlineStr">
        <x:is>
          <x:t>MYR</x:t>
        </x:is>
      </x:c>
      <x:c r="N66" s="36" t="inlineStr">
        <x:is>
          <x:t>Pending</x:t>
        </x:is>
      </x:c>
      <x:c r="O66" s="36" t="inlineStr">
        <x:is>
          <x:t>Aisha R.</x:t>
        </x:is>
      </x:c>
      <x:c r="P66" s="40"/>
      <x:c r="Q66" s="36" t="str">
        <x:f>IF(P66="","",P66-TODAY())</x:f>
        <x:v/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  <x:v>No due date</x:v>
      </x:c>
      <x:c r="S66" s="36"/>
      <x:c r="T66" s="36"/>
      <x:c r="U66" s="36"/>
      <x:c r="V66" s="42">
        <x:v>46300</x:v>
      </x:c>
      <x:c r="W66" s="36"/>
      <x:c r="X66" s="36" t="str">
        <x:f>IF(E66="","",IF(COUNTIF($E$7:$E$506,E66)&gt;1,"DUPLICATE","OK"))</x:f>
        <x:v>OK</x:v>
      </x:c>
    </x:row>
    <x:row r="67">
      <x:c r="A67" s="36" t="inlineStr">
        <x:is>
          <x:t>NEX</x:t>
        </x:is>
      </x:c>
      <x:c r="B67" s="36" t="inlineStr">
        <x:is>
          <x:t>QT</x:t>
        </x:is>
      </x:c>
      <x:c r="C67" s="38">
        <x:v>2026</x:v>
      </x:c>
      <x:c r="D67" s="38">
        <x:v>53</x:v>
      </x:c>
      <x:c r="E67" s="36" t="str">
        <x:f>IF(OR(A67="",B67="",C67="",D67=""),"",A67&amp;"-"&amp;B67&amp;"-"&amp;TEXT(C67,"0000")&amp;"-"&amp;TEXT(D67,"0000"))</x:f>
        <x:v>NEX-QT-2026-0053</x:v>
      </x:c>
      <x:c r="F67" s="36" t="inlineStr">
        <x:is>
          <x:t>R0</x:t>
        </x:is>
      </x:c>
      <x:c r="G67" s="40">
        <x:v>46300</x:v>
      </x:c>
      <x:c r="H67" s="40"/>
      <x:c r="I67" s="36" t="inlineStr">
        <x:is>
          <x:t>Customer</x:t>
        </x:is>
      </x:c>
      <x:c r="J67" s="36" t="inlineStr">
        <x:is>
          <x:t>Sample Customer</x:t>
        </x:is>
      </x:c>
      <x:c r="K67" s="36" t="inlineStr">
        <x:is>
          <x:t>Amount is text</x:t>
        </x:is>
      </x:c>
      <x:c r="L67" s="44" t="inlineStr">
        <x:is>
          <x:t>RM 1,200 approx</x:t>
        </x:is>
      </x:c>
      <x:c r="M67" s="36" t="inlineStr">
        <x:is>
          <x:t>MYR</x:t>
        </x:is>
      </x:c>
      <x:c r="N67" s="36" t="inlineStr">
        <x:is>
          <x:t>Draft</x:t>
        </x:is>
      </x:c>
      <x:c r="O67" s="36" t="inlineStr">
        <x:is>
          <x:t>Aisha R.</x:t>
        </x:is>
      </x:c>
      <x:c r="P67" s="40"/>
      <x:c r="Q67" s="36" t="str">
        <x:f>IF(P67="","",P67-TODAY())</x:f>
        <x:v/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  <x:v>No due date</x:v>
      </x:c>
      <x:c r="S67" s="36"/>
      <x:c r="T67" s="36"/>
      <x:c r="U67" s="36"/>
      <x:c r="V67" s="42">
        <x:v>46300</x:v>
      </x:c>
      <x:c r="W67" s="36"/>
      <x:c r="X67" s="36" t="str">
        <x:f>IF(E67="","",IF(COUNTIF($E$7:$E$506,E67)&gt;1,"DUPLICATE","OK"))</x:f>
        <x:v>OK</x:v>
      </x:c>
    </x:row>
    <x:row r="68">
      <x:c r="A68" s="36" t="inlineStr">
        <x:is>
          <x:t>NEX</x:t>
        </x:is>
      </x:c>
      <x:c r="B68" s="36" t="inlineStr">
        <x:is>
          <x:t>QT</x:t>
        </x:is>
      </x:c>
      <x:c r="C68" s="38">
        <x:v>2026</x:v>
      </x:c>
      <x:c r="D68" s="38">
        <x:v>54</x:v>
      </x:c>
      <x:c r="E68" s="36" t="str">
        <x:f>IF(OR(A68="",B68="",C68="",D68=""),"",A68&amp;"-"&amp;B68&amp;"-"&amp;TEXT(C68,"0000")&amp;"-"&amp;TEXT(D68,"0000"))</x:f>
        <x:v>NEX-QT-2026-0099</x:v>
      </x:c>
      <x:c r="F68" s="36" t="inlineStr">
        <x:is>
          <x:t>R0</x:t>
        </x:is>
      </x:c>
      <x:c r="G68" s="40">
        <x:v>46300</x:v>
      </x:c>
      <x:c r="H68" s="40"/>
      <x:c r="I68" s="36" t="inlineStr">
        <x:is>
          <x:t>Customer</x:t>
        </x:is>
      </x:c>
      <x:c r="J68" s="36" t="inlineStr">
        <x:is>
          <x:t>Sample Customer</x:t>
        </x:is>
      </x:c>
      <x:c r="K68" s="36" t="inlineStr">
        <x:is>
          <x:t>Cached ID overtyped (does not match parts)</x:t>
        </x:is>
      </x:c>
      <x:c r="L68" s="44">
        <x:v>1000</x:v>
      </x:c>
      <x:c r="M68" s="36" t="inlineStr">
        <x:is>
          <x:t>MYR</x:t>
        </x:is>
      </x:c>
      <x:c r="N68" s="36" t="inlineStr">
        <x:is>
          <x:t>Draft</x:t>
        </x:is>
      </x:c>
      <x:c r="O68" s="36" t="inlineStr">
        <x:is>
          <x:t>Aisha R.</x:t>
        </x:is>
      </x:c>
      <x:c r="P68" s="40"/>
      <x:c r="Q68" s="36" t="str">
        <x:f>IF(P68="","",P68-TODAY())</x:f>
        <x:v/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  <x:v>No due date</x:v>
      </x:c>
      <x:c r="S68" s="36"/>
      <x:c r="T68" s="36"/>
      <x:c r="U68" s="36"/>
      <x:c r="V68" s="42">
        <x:v>46300</x:v>
      </x:c>
      <x:c r="W68" s="36"/>
      <x:c r="X68" s="36" t="str">
        <x:f>IF(E68="","",IF(COUNTIF($E$7:$E$506,E68)&gt;1,"DUPLICATE","OK"))</x:f>
        <x:v>OK</x:v>
      </x:c>
    </x:row>
    <x:row r="69">
      <x:c r="A69" s="36" t="inlineStr">
        <x:is>
          <x:t>NEX</x:t>
        </x:is>
      </x:c>
      <x:c r="B69" s="36" t="inlineStr">
        <x:is>
          <x:t>QT</x:t>
        </x:is>
      </x:c>
      <x:c r="C69" s="38">
        <x:v>2026</x:v>
      </x:c>
      <x:c r="D69" s="38"/>
      <x:c r="E69" s="36" t="str">
        <x:f>IF(OR(A69="",B69="",C69="",D69=""),"",A69&amp;"-"&amp;B69&amp;"-"&amp;TEXT(C69,"0000")&amp;"-"&amp;TEXT(D69,"0000"))</x:f>
        <x:v/>
      </x:c>
      <x:c r="F69" s="36" t="inlineStr">
        <x:is>
          <x:t>R0</x:t>
        </x:is>
      </x:c>
      <x:c r="G69" s="40">
        <x:v>46300</x:v>
      </x:c>
      <x:c r="H69" s="40"/>
      <x:c r="I69" s="36" t="inlineStr">
        <x:is>
          <x:t>Customer</x:t>
        </x:is>
      </x:c>
      <x:c r="J69" s="36" t="inlineStr">
        <x:is>
          <x:t>Sample Customer</x:t>
        </x:is>
      </x:c>
      <x:c r="K69" s="36" t="inlineStr">
        <x:is>
          <x:t>Type set but sequence missing</x:t>
        </x:is>
      </x:c>
      <x:c r="L69" s="44">
        <x:v>1000</x:v>
      </x:c>
      <x:c r="M69" s="36" t="inlineStr">
        <x:is>
          <x:t>MYR</x:t>
        </x:is>
      </x:c>
      <x:c r="N69" s="36" t="inlineStr">
        <x:is>
          <x:t>Draft</x:t>
        </x:is>
      </x:c>
      <x:c r="O69" s="36" t="inlineStr">
        <x:is>
          <x:t>Aisha R.</x:t>
        </x:is>
      </x:c>
      <x:c r="P69" s="40"/>
      <x:c r="Q69" s="36" t="str">
        <x:f>IF(P69="","",P69-TODAY())</x:f>
        <x:v/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  <x:v/>
      </x:c>
      <x:c r="S69" s="36"/>
      <x:c r="T69" s="36"/>
      <x:c r="U69" s="36"/>
      <x:c r="V69" s="42">
        <x:v>46300</x:v>
      </x:c>
      <x:c r="W69" s="36"/>
      <x:c r="X69" s="36" t="str">
        <x:f>IF(E69="","",IF(COUNTIF($E$7:$E$506,E69)&gt;1,"DUPLICATE","OK"))</x:f>
        <x:v/>
      </x:c>
    </x:row>
    <x:row r="70">
      <x:c r="A70" s="36" t="inlineStr">
        <x:is>
          <x:t>NEX</x:t>
        </x:is>
      </x:c>
      <x:c r="B70" s="36" t="inlineStr">
        <x:is>
          <x:t>QT</x:t>
        </x:is>
      </x:c>
      <x:c r="C70" s="38">
        <x:v>2026</x:v>
      </x:c>
      <x:c r="D70" s="38">
        <x:v>56</x:v>
      </x:c>
      <x:c r="E70" s="36" t="str">
        <x:f>IF(OR(A70="",B70="",C70="",D70=""),"",A70&amp;"-"&amp;B70&amp;"-"&amp;TEXT(C70,"0000")&amp;"-"&amp;TEXT(D70,"0000"))</x:f>
        <x:v>NEX-QT-2026-0056</x:v>
      </x:c>
      <x:c r="F70" s="36" t="inlineStr">
        <x:is>
          <x:t>R0</x:t>
        </x:is>
      </x:c>
      <x:c r="G70" s="40">
        <x:v>46300</x:v>
      </x:c>
      <x:c r="H70" s="40"/>
      <x:c r="I70" s="36" t="inlineStr">
        <x:is>
          <x:t>Customer</x:t>
        </x:is>
      </x:c>
      <x:c r="J70" s="36" t="inlineStr">
        <x:is>
          <x:t>Sample Customer</x:t>
        </x:is>
      </x:c>
      <x:c r="K70" s="36" t="inlineStr">
        <x:is>
          <x:t>Expiry date is text</x:t>
        </x:is>
      </x:c>
      <x:c r="L70" s="44">
        <x:v>1000</x:v>
      </x:c>
      <x:c r="M70" s="36" t="inlineStr">
        <x:is>
          <x:t>MYR</x:t>
        </x:is>
      </x:c>
      <x:c r="N70" s="36" t="inlineStr">
        <x:is>
          <x:t>Draft</x:t>
        </x:is>
      </x:c>
      <x:c r="O70" s="36" t="inlineStr">
        <x:is>
          <x:t>Aisha R.</x:t>
        </x:is>
      </x:c>
      <x:c r="P70" s="40" t="inlineStr">
        <x:is>
          <x:t>next Friday</x:t>
        </x:is>
      </x:c>
      <x:c r="Q70" s="36" t="str">
        <x:f>IF(P70="","",P70-TODAY())</x:f>
        <x:v/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  <x:v>No due date</x:v>
      </x:c>
      <x:c r="S70" s="36"/>
      <x:c r="T70" s="36"/>
      <x:c r="U70" s="36"/>
      <x:c r="V70" s="42">
        <x:v>46300</x:v>
      </x:c>
      <x:c r="W70" s="36"/>
      <x:c r="X70" s="36" t="str">
        <x:f>IF(E70="","",IF(COUNTIF($E$7:$E$506,E70)&gt;1,"DUPLICATE","OK"))</x:f>
        <x:v>OK</x:v>
      </x:c>
    </x:row>
    <x:row r="71">
      <x:c r="A71" s="36" t="inlineStr">
        <x:is>
          <x:t>NEX</x:t>
        </x:is>
      </x:c>
      <x:c r="B71" s="36" t="inlineStr">
        <x:is>
          <x:t>QT</x:t>
        </x:is>
      </x:c>
      <x:c r="C71" s="38">
        <x:v>2026</x:v>
      </x:c>
      <x:c r="D71" s="38">
        <x:v>57</x:v>
      </x:c>
      <x:c r="E71" s="36" t="str">
        <x:f>IF(OR(A71="",B71="",C71="",D71=""),"",A71&amp;"-"&amp;B71&amp;"-"&amp;TEXT(C71,"0000")&amp;"-"&amp;TEXT(D71,"0000"))</x:f>
        <x:v>NEX-QT-2026-0057</x:v>
      </x:c>
      <x:c r="F71" s="36" t="inlineStr">
        <x:is>
          <x:t>R0</x:t>
        </x:is>
      </x:c>
      <x:c r="G71" s="40">
        <x:v>46300</x:v>
      </x:c>
      <x:c r="H71" s="40"/>
      <x:c r="I71" s="36" t="inlineStr">
        <x:is>
          <x:t>Customer</x:t>
        </x:is>
      </x:c>
      <x:c r="J71" s="36" t="inlineStr">
        <x:is>
          <x:t>Sample Customer</x:t>
        </x:is>
      </x:c>
      <x:c r="K71" s="36" t="inlineStr">
        <x:is>
          <x:t>Currency not in controlled list</x:t>
        </x:is>
      </x:c>
      <x:c r="L71" s="44">
        <x:v>1000</x:v>
      </x:c>
      <x:c r="M71" s="36" t="inlineStr">
        <x:is>
          <x:t>RM</x:t>
        </x:is>
      </x:c>
      <x:c r="N71" s="36" t="inlineStr">
        <x:is>
          <x:t>Draft</x:t>
        </x:is>
      </x:c>
      <x:c r="O71" s="36" t="inlineStr">
        <x:is>
          <x:t>Aisha R.</x:t>
        </x:is>
      </x:c>
      <x:c r="P71" s="40"/>
      <x:c r="Q71" s="36" t="str">
        <x:f>IF(P71="","",P71-TODAY())</x:f>
        <x:v/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  <x:v>No due date</x:v>
      </x:c>
      <x:c r="S71" s="36"/>
      <x:c r="T71" s="36"/>
      <x:c r="U71" s="36"/>
      <x:c r="V71" s="42">
        <x:v>46300</x:v>
      </x:c>
      <x:c r="W71" s="36"/>
      <x:c r="X71" s="36" t="str">
        <x:f>IF(E71="","",IF(COUNTIF($E$7:$E$506,E71)&gt;1,"DUPLICATE","OK"))</x:f>
        <x:v>OK</x:v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
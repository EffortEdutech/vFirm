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Total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inlineStr">
        <x:is>
          <x:t>Total</x:t>
        </x:is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 t="str">
        <x:f>IF(OR(A7="",B7="",C7="",D7=""),"",A7&amp;"-"&amp;B7&amp;"-"&amp;TEXT(C7,"0000")&amp;"-"&amp;TEXT(D7,"0000"))</x:f>
        <x:v>NEX-QT-2026-0001</x:v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  <x:v>-61</x:v>
      </x:c>
      <x:c r="R7" s="36" t="str">
        <x:f>IF(E7="","",IF(X7="DUPLICATE","STOP — DUPLICATE",IF(OR(N7="Completed",N7="Cancelled",N7="Rejected",N7="Superseded"),"Closed",IF(P7="","No due date",IF(Q7&lt;0,"OVERDUE",IF(Q7&lt;=7,"DUE SOON","Open"))))))</x:f>
        <x:v>OVERDUE</x:v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 t="str">
        <x:f>IF(E7="","",IF(COUNTIF($E$7:$E$506,E7)&gt;1,"DUPLICATE","OK"))</x:f>
        <x:v>OK</x:v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 t="str">
        <x:f>IF(OR(A8="",B8="",C8="",D8=""),"",A8&amp;"-"&amp;B8&amp;"-"&amp;TEXT(C8,"0000")&amp;"-"&amp;TEXT(D8,"0000"))</x:f>
        <x:v>NEX-SO-2026-0001</x:v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 t="str">
        <x:f>IF(P8="","",P8-TODAY())</x:f>
        <x:v/>
      </x:c>
      <x:c r="R8" s="36" t="str">
        <x:f>IF(E8="","",IF(X8="DUPLICATE","STOP — DUPLICATE",IF(OR(N8="Completed",N8="Cancelled",N8="Rejected",N8="Superseded"),"Closed",IF(P8="","No due date",IF(Q8&lt;0,"OVERDUE",IF(Q8&lt;=7,"DUE SOON","Open"))))))</x:f>
        <x:v>Closed</x:v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 t="str">
        <x:f>IF(E8="","",IF(COUNTIF($E$7:$E$506,E8)&gt;1,"DUPLICATE","OK"))</x:f>
        <x:v>OK</x:v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 t="str">
        <x:f>IF(OR(A9="",B9="",C9="",D9=""),"",A9&amp;"-"&amp;B9&amp;"-"&amp;TEXT(C9,"0000")&amp;"-"&amp;TEXT(D9,"0000"))</x:f>
        <x:v>NEX-DO-2026-0001</x:v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 t="str">
        <x:f>IF(P9="","",P9-TODAY())</x:f>
        <x:v/>
      </x:c>
      <x:c r="R9" s="36" t="str">
        <x:f>IF(E9="","",IF(X9="DUPLICATE","STOP — DUPLICATE",IF(OR(N9="Completed",N9="Cancelled",N9="Rejected",N9="Superseded"),"Closed",IF(P9="","No due date",IF(Q9&lt;0,"OVERDUE",IF(Q9&lt;=7,"DUE SOON","Open"))))))</x:f>
        <x:v>Closed</x:v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 t="str">
        <x:f>IF(E9="","",IF(COUNTIF($E$7:$E$506,E9)&gt;1,"DUPLICATE","OK"))</x:f>
        <x:v>OK</x:v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 t="str">
        <x:f>IF(OR(A10="",B10="",C10="",D10=""),"",A10&amp;"-"&amp;B10&amp;"-"&amp;TEXT(C10,"0000")&amp;"-"&amp;TEXT(D10,"0000"))</x:f>
        <x:v>NEX-INV-2026-0001</x:v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  <x:v>-16</x:v>
      </x:c>
      <x:c r="R10" s="36" t="str">
        <x:f>IF(E10="","",IF(X10="DUPLICATE","STOP — DUPLICATE",IF(OR(N10="Completed",N10="Cancelled",N10="Rejected",N10="Superseded"),"Closed",IF(P10="","No due date",IF(Q10&lt;0,"OVERDUE",IF(Q10&lt;=7,"DUE SOON","Open"))))))</x:f>
        <x:v>Closed</x:v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 t="str">
        <x:f>IF(E10="","",IF(COUNTIF($E$7:$E$506,E10)&gt;1,"DUPLICATE","OK"))</x:f>
        <x:v>OK</x:v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 t="str">
        <x:f>IF(OR(A11="",B11="",C11="",D11=""),"",A11&amp;"-"&amp;B11&amp;"-"&amp;TEXT(C11,"0000")&amp;"-"&amp;TEXT(D11,"0000"))</x:f>
        <x:v>NEX-RC-2026-0001</x:v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 t="str">
        <x:f>IF(P11="","",P11-TODAY())</x:f>
        <x:v/>
      </x:c>
      <x:c r="R11" s="36" t="str">
        <x:f>IF(E11="","",IF(X11="DUPLICATE","STOP — DUPLICATE",IF(OR(N11="Completed",N11="Cancelled",N11="Rejected",N11="Superseded"),"Closed",IF(P11="","No due date",IF(Q11&lt;0,"OVERDUE",IF(Q11&lt;=7,"DUE SOON","Open"))))))</x:f>
        <x:v>Closed</x:v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 t="str">
        <x:f>IF(E11="","",IF(COUNTIF($E$7:$E$506,E11)&gt;1,"DUPLICATE","OK"))</x:f>
        <x:v>OK</x:v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 t="str">
        <x:f>IF(OR(A12="",B12="",C12="",D12=""),"",A12&amp;"-"&amp;B12&amp;"-"&amp;TEXT(C12,"0000")&amp;"-"&amp;TEXT(D12,"0000"))</x:f>
        <x:v>NEX-CN-2026-0001</x:v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 t="str">
        <x:f>IF(P12="","",P12-TODAY())</x:f>
        <x:v/>
      </x:c>
      <x:c r="R12" s="36" t="str">
        <x:f>IF(E12="","",IF(X12="DUPLICATE","STOP — DUPLICATE",IF(OR(N12="Completed",N12="Cancelled",N12="Rejected",N12="Superseded"),"Closed",IF(P12="","No due date",IF(Q12&lt;0,"OVERDUE",IF(Q12&lt;=7,"DUE SOON","Open"))))))</x:f>
        <x:v>No due date</x:v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 t="str">
        <x:f>IF(E12="","",IF(COUNTIF($E$7:$E$506,E12)&gt;1,"DUPLICATE","OK"))</x:f>
        <x:v>OK</x:v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 t="str">
        <x:f>IF(OR(A13="",B13="",C13="",D13=""),"",A13&amp;"-"&amp;B13&amp;"-"&amp;TEXT(C13,"0000")&amp;"-"&amp;TEXT(D13,"0000"))</x:f>
        <x:v>NEX-QT-2026-0002</x:v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  <x:v>-37</x:v>
      </x:c>
      <x:c r="R13" s="36" t="str">
        <x:f>IF(E13="","",IF(X13="DUPLICATE","STOP — DUPLICATE",IF(OR(N13="Completed",N13="Cancelled",N13="Rejected",N13="Superseded"),"Closed",IF(P13="","No due date",IF(Q13&lt;0,"OVERDUE",IF(Q13&lt;=7,"DUE SOON","Open"))))))</x:f>
        <x:v>OVERDUE</x:v>
      </x:c>
      <x:c r="S13" s="36"/>
      <x:c r="T13" s="36"/>
      <x:c r="U13" s="36"/>
      <x:c r="V13" s="42">
        <x:v>46236</x:v>
      </x:c>
      <x:c r="W13" s="36"/>
      <x:c r="X13" s="36" t="str">
        <x:f>IF(E13="","",IF(COUNTIF($E$7:$E$506,E13)&gt;1,"DUPLICATE","OK"))</x:f>
        <x:v>OK</x:v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 t="str">
        <x:f>IF(OR(A14="",B14="",C14="",D14=""),"",A14&amp;"-"&amp;B14&amp;"-"&amp;TEXT(C14,"0000")&amp;"-"&amp;TEXT(D14,"0000"))</x:f>
        <x:v>NEX-SO-2026-0002</x:v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 t="str">
        <x:f>IF(P14="","",P14-TODAY())</x:f>
        <x:v/>
      </x:c>
      <x:c r="R14" s="36" t="str">
        <x:f>IF(E14="","",IF(X14="DUPLICATE","STOP — DUPLICATE",IF(OR(N14="Completed",N14="Cancelled",N14="Rejected",N14="Superseded"),"Closed",IF(P14="","No due date",IF(Q14&lt;0,"OVERDUE",IF(Q14&lt;=7,"DUE SOON","Open"))))))</x:f>
        <x:v>Closed</x:v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 t="str">
        <x:f>IF(E14="","",IF(COUNTIF($E$7:$E$506,E14)&gt;1,"DUPLICATE","OK"))</x:f>
        <x:v>OK</x:v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 t="str">
        <x:f>IF(OR(A15="",B15="",C15="",D15=""),"",A15&amp;"-"&amp;B15&amp;"-"&amp;TEXT(C15,"0000")&amp;"-"&amp;TEXT(D15,"0000"))</x:f>
        <x:v>NEX-DO-2026-0002</x:v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 t="str">
        <x:f>IF(P15="","",P15-TODAY())</x:f>
        <x:v/>
      </x:c>
      <x:c r="R15" s="36" t="str">
        <x:f>IF(E15="","",IF(X15="DUPLICATE","STOP — DUPLICATE",IF(OR(N15="Completed",N15="Cancelled",N15="Rejected",N15="Superseded"),"Closed",IF(P15="","No due date",IF(Q15&lt;0,"OVERDUE",IF(Q15&lt;=7,"DUE SOON","Open"))))))</x:f>
        <x:v>Closed</x:v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 t="str">
        <x:f>IF(E15="","",IF(COUNTIF($E$7:$E$506,E15)&gt;1,"DUPLICATE","OK"))</x:f>
        <x:v>OK</x:v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 t="str">
        <x:f>IF(OR(A16="",B16="",C16="",D16=""),"",A16&amp;"-"&amp;B16&amp;"-"&amp;TEXT(C16,"0000")&amp;"-"&amp;TEXT(D16,"0000"))</x:f>
        <x:v>NEX-INV-2026-0002</x:v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  <x:v>-11</x:v>
      </x:c>
      <x:c r="R16" s="36" t="str">
        <x:f>IF(E16="","",IF(X16="DUPLICATE","STOP — DUPLICATE",IF(OR(N16="Completed",N16="Cancelled",N16="Rejected",N16="Superseded"),"Closed",IF(P16="","No due date",IF(Q16&lt;0,"OVERDUE",IF(Q16&lt;=7,"DUE SOON","Open"))))))</x:f>
        <x:v>OVERDUE</x:v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 t="str">
        <x:f>IF(E16="","",IF(COUNTIF($E$7:$E$506,E16)&gt;1,"DUPLICATE","OK"))</x:f>
        <x:v>OK</x:v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 t="str">
        <x:f>IF(OR(A17="",B17="",C17="",D17=""),"",A17&amp;"-"&amp;B17&amp;"-"&amp;TEXT(C17,"0000")&amp;"-"&amp;TEXT(D17,"0000"))</x:f>
        <x:v>NEX-CMP-2026-0001</x:v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  <x:v>5</x:v>
      </x:c>
      <x:c r="R17" s="36" t="str">
        <x:f>IF(E17="","",IF(X17="DUPLICATE","STOP — DUPLICATE",IF(OR(N17="Completed",N17="Cancelled",N17="Rejected",N17="Superseded"),"Closed",IF(P17="","No due date",IF(Q17&lt;0,"OVERDUE",IF(Q17&lt;=7,"DUE SOON","Open"))))))</x:f>
        <x:v>DUE SOON</x:v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 t="str">
        <x:f>IF(E17="","",IF(COUNTIF($E$7:$E$506,E17)&gt;1,"DUPLICATE","OK"))</x:f>
        <x:v>OK</x:v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 t="str">
        <x:f>IF(OR(A18="",B18="",C18="",D18=""),"",A18&amp;"-"&amp;B18&amp;"-"&amp;TEXT(C18,"0000")&amp;"-"&amp;TEXT(D18,"0000"))</x:f>
        <x:v>NEX-CMP-2026-0002</x:v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 t="str">
        <x:f>IF(P18="","",P18-TODAY())</x:f>
        <x:v/>
      </x:c>
      <x:c r="R18" s="36" t="str">
        <x:f>IF(E18="","",IF(X18="DUPLICATE","STOP — DUPLICATE",IF(OR(N18="Completed",N18="Cancelled",N18="Rejected",N18="Superseded"),"Closed",IF(P18="","No due date",IF(Q18&lt;0,"OVERDUE",IF(Q18&lt;=7,"DUE SOON","Open"))))))</x:f>
        <x:v>Closed</x:v>
      </x:c>
      <x:c r="S18" s="36"/>
      <x:c r="T18" s="36"/>
      <x:c r="U18" s="36"/>
      <x:c r="V18" s="42">
        <x:v>46252</x:v>
      </x:c>
      <x:c r="W18" s="36"/>
      <x:c r="X18" s="36" t="str">
        <x:f>IF(E18="","",IF(COUNTIF($E$7:$E$506,E18)&gt;1,"DUPLICATE","OK"))</x:f>
        <x:v>OK</x:v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 t="str">
        <x:f>IF(OR(A19="",B19="",C19="",D19=""),"",A19&amp;"-"&amp;B19&amp;"-"&amp;TEXT(C19,"0000")&amp;"-"&amp;TEXT(D19,"0000"))</x:f>
        <x:v>NEX-QT-2026-0003</x:v>
      </x:c>
      <x:c r="F19" s="36" t="inlineStr">
        <x:is>
          <x:t>R0</x:t>
        </x:is>
      </x:c>
      <x:c r="G19" s="40">
        <x:v>46295</x:v>
      </x:c>
      <x:c r="H19" s="40">
        <x:v>46296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4980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46303</x:v>
      </x:c>
      <x:c r="Q19" s="36">
        <x:f>IF(P19="","",P19-TODAY())</x:f>
        <x:v>3</x:v>
      </x:c>
      <x:c r="R19" s="36" t="str">
        <x:f>IF(E19="","",IF(X19="DUPLICATE","STOP — DUPLICATE",IF(OR(N19="Completed",N19="Cancelled",N19="Rejected",N19="Superseded"),"Closed",IF(P19="","No due date",IF(Q19&lt;0,"OVERDUE",IF(Q19&lt;=7,"DUE SOON","Open"))))))</x:f>
        <x:v>DUE SOON</x:v>
      </x:c>
      <x:c r="S19" s="36"/>
      <x:c r="T19" s="36"/>
      <x:c r="U19" s="36"/>
      <x:c r="V19" s="42">
        <x:v>46296</x:v>
      </x:c>
      <x:c r="W19" s="36" t="inlineStr">
        <x:is>
          <x:t>Expires in 3 days (DUE SOON at as-of date)</x:t>
        </x:is>
      </x:c>
      <x:c r="X19" s="36" t="str">
        <x:f>IF(E19="","",IF(COUNTIF($E$7:$E$506,E19)&gt;1,"DUPLICATE","OK"))</x:f>
        <x:v>OK</x:v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 t="str">
        <x:f>IF(OR(A20="",B20="",C20="",D20=""),"",A20&amp;"-"&amp;B20&amp;"-"&amp;TEXT(C20,"0000")&amp;"-"&amp;TEXT(D20,"0000"))</x:f>
        <x:v>NEX-QT-2026-0004</x:v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Issued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  <x:v>15</x:v>
      </x:c>
      <x:c r="R20" s="36" t="str">
        <x:f>IF(E20="","",IF(X20="DUPLICATE","STOP — DUPLICATE",IF(OR(N20="Completed",N20="Cancelled",N20="Rejected",N20="Superseded"),"Closed",IF(P20="","No due date",IF(Q20&lt;0,"OVERDUE",IF(Q20&lt;=7,"DUE SOON","Open"))))))</x:f>
        <x:v>Open</x:v>
      </x:c>
      <x:c r="S20" s="36"/>
      <x:c r="T20" s="36"/>
      <x:c r="U20" s="36"/>
      <x:c r="V20" s="42">
        <x:v>46283</x:v>
      </x:c>
      <x:c r="W20" s="36"/>
      <x:c r="X20" s="36" t="str">
        <x:f>IF(E20="","",IF(COUNTIF($E$7:$E$506,E20)&gt;1,"DUPLICATE","OK"))</x:f>
        <x:v>OK</x:v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 t="str">
        <x:f>IF(OR(A21="",B21="",C21="",D21=""),"",A21&amp;"-"&amp;B21&amp;"-"&amp;TEXT(C21,"0000")&amp;"-"&amp;TEXT(D21,"0000"))</x:f>
        <x:v>NEX-QT-2026-0005</x:v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  <x:v>5</x:v>
      </x:c>
      <x:c r="R21" s="36" t="str">
        <x:f>IF(E21="","",IF(X21="DUPLICATE","STOP — DUPLICATE",IF(OR(N21="Completed",N21="Cancelled",N21="Rejected",N21="Superseded"),"Closed",IF(P21="","No due date",IF(Q21&lt;0,"OVERDUE",IF(Q21&lt;=7,"DUE SOON","Open"))))))</x:f>
        <x:v>Closed</x:v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 t="str">
        <x:f>IF(E21="","",IF(COUNTIF($E$7:$E$506,E21)&gt;1,"DUPLICATE","OK"))</x:f>
        <x:v>OK</x:v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 t="str">
        <x:f>IF(OR(A22="",B22="",C22="",D22=""),"",A22&amp;"-"&amp;B22&amp;"-"&amp;TEXT(C22,"0000")&amp;"-"&amp;TEXT(D22,"0000"))</x:f>
        <x:v>NEX-QT-2026-0006</x:v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9100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  <x:v>20</x:v>
      </x:c>
      <x:c r="R22" s="36" t="str">
        <x:f>IF(E22="","",IF(X22="DUPLICATE","STOP — DUPLICATE",IF(OR(N22="Completed",N22="Cancelled",N22="Rejected",N22="Superseded"),"Closed",IF(P22="","No due date",IF(Q22&lt;0,"OVERDUE",IF(Q22&lt;=7,"DUE SOON","Open"))))))</x:f>
        <x:v>Open</x:v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 t="str">
        <x:f>IF(E22="","",IF(COUNTIF($E$7:$E$506,E22)&gt;1,"DUPLICATE","OK"))</x:f>
        <x:v>OK</x:v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 t="str">
        <x:f>IF(OR(A23="",B23="",C23="",D23=""),"",A23&amp;"-"&amp;B23&amp;"-"&amp;TEXT(C23,"0000")&amp;"-"&amp;TEXT(D23,"0000"))</x:f>
        <x:v>NEX-QT-2026-0007</x:v>
      </x:c>
      <x:c r="F23" s="36" t="inlineStr">
        <x:is>
          <x:t>R1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  <x:v>7</x:v>
      </x:c>
      <x:c r="R23" s="36" t="str">
        <x:f>IF(E23="","",IF(X23="DUPLICATE","STOP — DUPLICATE",IF(OR(N23="Completed",N23="Cancelled",N23="Rejected",N23="Superseded"),"Closed",IF(P23="","No due date",IF(Q23&lt;0,"OVERDUE",IF(Q23&lt;=7,"DUE SOON","Open"))))))</x:f>
        <x:v>DUE SOON</x:v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 t="str">
        <x:f>IF(E23="","",IF(COUNTIF($E$7:$E$506,E23)&gt;1,"DUPLICATE","OK"))</x:f>
        <x:v>OK</x:v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 t="str">
        <x:f>IF(OR(A24="",B24="",C24="",D24=""),"",A24&amp;"-"&amp;B24&amp;"-"&amp;TEXT(C24,"0000")&amp;"-"&amp;TEXT(D24,"0000"))</x:f>
        <x:v>NEX-QT-2026-0008</x:v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Cancelled</x:t>
        </x:is>
      </x:c>
      <x:c r="O24" s="36" t="inlineStr">
        <x:is>
          <x:t>Aisha R.</x:t>
        </x:is>
      </x:c>
      <x:c r="P24" s="40"/>
      <x:c r="Q24" s="36" t="str">
        <x:f>IF(P24="","",P24-TODAY())</x:f>
        <x:v/>
      </x:c>
      <x:c r="R24" s="36" t="str">
        <x:f>IF(E24="","",IF(X24="DUPLICATE","STOP — DUPLICATE",IF(OR(N24="Completed",N24="Cancelled",N24="Rejected",N24="Superseded"),"Closed",IF(P24="","No due date",IF(Q24&lt;0,"OVERDUE",IF(Q24&lt;=7,"DUE SOON","Open"))))))</x:f>
        <x:v>Closed</x:v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 t="str">
        <x:f>IF(E24="","",IF(COUNTIF($E$7:$E$506,E24)&gt;1,"DUPLICATE","OK"))</x:f>
        <x:v>OK</x:v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 t="str">
        <x:f>IF(OR(A25="",B25="",C25="",D25=""),"",A25&amp;"-"&amp;B25&amp;"-"&amp;TEXT(C25,"0000")&amp;"-"&amp;TEXT(D25,"0000"))</x:f>
        <x:v>NEX-QT-2026-0009</x:v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 t="str">
        <x:f>IF(P25="","",P25-TODAY())</x:f>
        <x:v/>
      </x:c>
      <x:c r="R25" s="36" t="str">
        <x:f>IF(E25="","",IF(X25="DUPLICATE","STOP — DUPLICATE",IF(OR(N25="Completed",N25="Cancelled",N25="Rejected",N25="Superseded"),"Closed",IF(P25="","No due date",IF(Q25&lt;0,"OVERDUE",IF(Q25&lt;=7,"DUE SOON","Open"))))))</x:f>
        <x:v>No due date</x:v>
      </x:c>
      <x:c r="S25" s="36"/>
      <x:c r="T25" s="36"/>
      <x:c r="U25" s="36"/>
      <x:c r="V25" s="42">
        <x:v>46298</x:v>
      </x:c>
      <x:c r="W25" s="36"/>
      <x:c r="X25" s="36" t="str">
        <x:f>IF(E25="","",IF(COUNTIF($E$7:$E$506,E25)&gt;1,"DUPLICATE","OK"))</x:f>
        <x:v>OK</x:v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 t="str">
        <x:f>IF(OR(A26="",B26="",C26="",D26=""),"",A26&amp;"-"&amp;B26&amp;"-"&amp;TEXT(C26,"0000")&amp;"-"&amp;TEXT(D26,"0000"))</x:f>
        <x:v>NEX-QT-2025-0042</x:v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  <x:v>-306</x:v>
      </x:c>
      <x:c r="R26" s="36" t="str">
        <x:f>IF(E26="","",IF(X26="DUPLICATE","STOP — DUPLICATE",IF(OR(N26="Completed",N26="Cancelled",N26="Rejected",N26="Superseded"),"Closed",IF(P26="","No due date",IF(Q26&lt;0,"OVERDUE",IF(Q26&lt;=7,"DUE SOON","Open"))))))</x:f>
        <x:v>Closed</x:v>
      </x:c>
      <x:c r="S26" s="36"/>
      <x:c r="T26" s="36"/>
      <x:c r="U26" s="36"/>
      <x:c r="V26" s="42">
        <x:v>45992</x:v>
      </x:c>
      <x:c r="W26" s="36"/>
      <x:c r="X26" s="36" t="str">
        <x:f>IF(E26="","",IF(COUNTIF($E$7:$E$506,E26)&gt;1,"DUPLICATE","OK"))</x:f>
        <x:v>OK</x:v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 t="str">
        <x:f>IF(OR(A27="",B27="",C27="",D27=""),"",A27&amp;"-"&amp;B27&amp;"-"&amp;TEXT(C27,"0000")&amp;"-"&amp;TEXT(D27,"0000"))</x:f>
        <x:v>NEX-SO-2026-0004</x:v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 t="str">
        <x:f>IF(P27="","",P27-TODAY())</x:f>
        <x:v/>
      </x:c>
      <x:c r="R27" s="36" t="str">
        <x:f>IF(E27="","",IF(X27="DUPLICATE","STOP — DUPLICATE",IF(OR(N27="Completed",N27="Cancelled",N27="Rejected",N27="Superseded"),"Closed",IF(P27="","No due date",IF(Q27&lt;0,"OVERDUE",IF(Q27&lt;=7,"DUE SOON","Open"))))))</x:f>
        <x:v>No due date</x:v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 t="str">
        <x:f>IF(E27="","",IF(COUNTIF($E$7:$E$506,E27)&gt;1,"DUPLICATE","OK"))</x:f>
        <x:v>OK</x:v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 t="str">
        <x:f>IF(OR(A28="",B28="",C28="",D28=""),"",A28&amp;"-"&amp;B28&amp;"-"&amp;TEXT(C28,"0000")&amp;"-"&amp;TEXT(D28,"0000"))</x:f>
        <x:v>NEX-DO-2026-0003</x:v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 t="str">
        <x:f>IF(P28="","",P28-TODAY())</x:f>
        <x:v/>
      </x:c>
      <x:c r="R28" s="36" t="str">
        <x:f>IF(E28="","",IF(X28="DUPLICATE","STOP — DUPLICATE",IF(OR(N28="Completed",N28="Cancelled",N28="Rejected",N28="Superseded"),"Closed",IF(P28="","No due date",IF(Q28&lt;0,"OVERDUE",IF(Q28&lt;=7,"DUE SOON","Open"))))))</x:f>
        <x:v>No due date</x:v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 t="str">
        <x:f>IF(E28="","",IF(COUNTIF($E$7:$E$506,E28)&gt;1,"DUPLICATE","OK"))</x:f>
        <x:v>OK</x:v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 t="str">
        <x:f>IF(OR(A29="",B29="",C29="",D29=""),"",A29&amp;"-"&amp;B29&amp;"-"&amp;TEXT(C29,"0000")&amp;"-"&amp;TEXT(D29,"0000"))</x:f>
        <x:v>NEX-INV-2026-0003</x:v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  <x:v>25</x:v>
      </x:c>
      <x:c r="R29" s="36" t="str">
        <x:f>IF(E29="","",IF(X29="DUPLICATE","STOP — DUPLICATE",IF(OR(N29="Completed",N29="Cancelled",N29="Rejected",N29="Superseded"),"Closed",IF(P29="","No due date",IF(Q29&lt;0,"OVERDUE",IF(Q29&lt;=7,"DUE SOON","Open"))))))</x:f>
        <x:v>STOP — DUPLICATE</x:v>
      </x:c>
      <x:c r="S29" s="36"/>
      <x:c r="T29" s="36"/>
      <x:c r="U29" s="36"/>
      <x:c r="V29" s="42">
        <x:v>46295</x:v>
      </x:c>
      <x:c r="W29" s="36"/>
      <x:c r="X29" s="36" t="str">
        <x:f>IF(E29="","",IF(COUNTIF($E$7:$E$506,E29)&gt;1,"DUPLICATE","OK"))</x:f>
        <x:v>DUPLICATE</x:v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 t="str">
        <x:f>IF(OR(A30="",B30="",C30="",D30=""),"",A30&amp;"-"&amp;B30&amp;"-"&amp;TEXT(C30,"0000")&amp;"-"&amp;TEXT(D30,"0000"))</x:f>
        <x:v>NEX-INV-2026-0003</x:v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  <x:v>25</x:v>
      </x:c>
      <x:c r="R30" s="36" t="str">
        <x:f>IF(E30="","",IF(X30="DUPLICATE","STOP — DUPLICATE",IF(OR(N30="Completed",N30="Cancelled",N30="Rejected",N30="Superseded"),"Closed",IF(P30="","No due date",IF(Q30&lt;0,"OVERDUE",IF(Q30&lt;=7,"DUE SOON","Open"))))))</x:f>
        <x:v>STOP — DUPLICATE</x:v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 t="str">
        <x:f>IF(E30="","",IF(COUNTIF($E$7:$E$506,E30)&gt;1,"DUPLICATE","OK"))</x:f>
        <x:v>DUPLICATE</x:v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 t="str">
        <x:f>IF(OR(A31="",B31="",C31="",D31=""),"",A31&amp;"-"&amp;B31&amp;"-"&amp;TEXT(C31,"0000")&amp;"-"&amp;TEXT(D31,"0000"))</x:f>
        <x:v>NEX-INV-2026-0004</x:v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  <x:v>27</x:v>
      </x:c>
      <x:c r="R31" s="36" t="str">
        <x:f>IF(E31="","",IF(X31="DUPLICATE","STOP — DUPLICATE",IF(OR(N31="Completed",N31="Cancelled",N31="Rejected",N31="Superseded"),"Closed",IF(P31="","No due date",IF(Q31&lt;0,"OVERDUE",IF(Q31&lt;=7,"DUE SOON","Open"))))))</x:f>
        <x:v>Open</x:v>
      </x:c>
      <x:c r="S31" s="36"/>
      <x:c r="T31" s="36"/>
      <x:c r="U31" s="36"/>
      <x:c r="V31" s="42">
        <x:v>46297</x:v>
      </x:c>
      <x:c r="W31" s="36"/>
      <x:c r="X31" s="36" t="str">
        <x:f>IF(E31="","",IF(COUNTIF($E$7:$E$506,E31)&gt;1,"DUPLICATE","OK"))</x:f>
        <x:v>OK</x:v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 t="str">
        <x:f>IF(OR(A32="",B32="",C32="",D32=""),"",A32&amp;"-"&amp;B32&amp;"-"&amp;TEXT(C32,"0000")&amp;"-"&amp;TEXT(D32,"0000"))</x:f>
        <x:v>NEX-PR-2026-0001</x:v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 t="str">
        <x:f>IF(P32="","",P32-TODAY())</x:f>
        <x:v/>
      </x:c>
      <x:c r="R32" s="36" t="str">
        <x:f>IF(E32="","",IF(X32="DUPLICATE","STOP — DUPLICATE",IF(OR(N32="Completed",N32="Cancelled",N32="Rejected",N32="Superseded"),"Closed",IF(P32="","No due date",IF(Q32&lt;0,"OVERDUE",IF(Q32&lt;=7,"DUE SOON","Open"))))))</x:f>
        <x:v>Closed</x:v>
      </x:c>
      <x:c r="S32" s="36"/>
      <x:c r="T32" s="36"/>
      <x:c r="U32" s="36"/>
      <x:c r="V32" s="42">
        <x:v>46249</x:v>
      </x:c>
      <x:c r="W32" s="36"/>
      <x:c r="X32" s="36" t="str">
        <x:f>IF(E32="","",IF(COUNTIF($E$7:$E$506,E32)&gt;1,"DUPLICATE","OK"))</x:f>
        <x:v>OK</x:v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 t="str">
        <x:f>IF(OR(A33="",B33="",C33="",D33=""),"",A33&amp;"-"&amp;B33&amp;"-"&amp;TEXT(C33,"0000")&amp;"-"&amp;TEXT(D33,"0000"))</x:f>
        <x:v>NEX-RFQ-2026-0001</x:v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 t="str">
        <x:f>IF(P33="","",P33-TODAY())</x:f>
        <x:v/>
      </x:c>
      <x:c r="R33" s="36" t="str">
        <x:f>IF(E33="","",IF(X33="DUPLICATE","STOP — DUPLICATE",IF(OR(N33="Completed",N33="Cancelled",N33="Rejected",N33="Superseded"),"Closed",IF(P33="","No due date",IF(Q33&lt;0,"OVERDUE",IF(Q33&lt;=7,"DUE SOON","Open"))))))</x:f>
        <x:v>Closed</x:v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 t="str">
        <x:f>IF(E33="","",IF(COUNTIF($E$7:$E$506,E33)&gt;1,"DUPLICATE","OK"))</x:f>
        <x:v>OK</x:v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 t="str">
        <x:f>IF(OR(A34="",B34="",C34="",D34=""),"",A34&amp;"-"&amp;B34&amp;"-"&amp;TEXT(C34,"0000")&amp;"-"&amp;TEXT(D34,"0000"))</x:f>
        <x:v>NEX-QC-2026-0001</x:v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 t="str">
        <x:f>IF(P34="","",P34-TODAY())</x:f>
        <x:v/>
      </x:c>
      <x:c r="R34" s="36" t="str">
        <x:f>IF(E34="","",IF(X34="DUPLICATE","STOP — DUPLICATE",IF(OR(N34="Completed",N34="Cancelled",N34="Rejected",N34="Superseded"),"Closed",IF(P34="","No due date",IF(Q34&lt;0,"OVERDUE",IF(Q34&lt;=7,"DUE SOON","Open"))))))</x:f>
        <x:v>Closed</x:v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 t="str">
        <x:f>IF(E34="","",IF(COUNTIF($E$7:$E$506,E34)&gt;1,"DUPLICATE","OK"))</x:f>
        <x:v>OK</x:v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 t="str">
        <x:f>IF(OR(A35="",B35="",C35="",D35=""),"",A35&amp;"-"&amp;B35&amp;"-"&amp;TEXT(C35,"0000")&amp;"-"&amp;TEXT(D35,"0000"))</x:f>
        <x:v>NEX-PO-2026-0001</x:v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 t="str">
        <x:f>IF(P35="","",P35-TODAY())</x:f>
        <x:v/>
      </x:c>
      <x:c r="R35" s="36" t="str">
        <x:f>IF(E35="","",IF(X35="DUPLICATE","STOP — DUPLICATE",IF(OR(N35="Completed",N35="Cancelled",N35="Rejected",N35="Superseded"),"Closed",IF(P35="","No due date",IF(Q35&lt;0,"OVERDUE",IF(Q35&lt;=7,"DUE SOON","Open"))))))</x:f>
        <x:v>Closed</x:v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 t="str">
        <x:f>IF(E35="","",IF(COUNTIF($E$7:$E$506,E35)&gt;1,"DUPLICATE","OK"))</x:f>
        <x:v>OK</x:v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 t="str">
        <x:f>IF(OR(A36="",B36="",C36="",D36=""),"",A36&amp;"-"&amp;B36&amp;"-"&amp;TEXT(C36,"0000")&amp;"-"&amp;TEXT(D36,"0000"))</x:f>
        <x:v>NEX-GRN-2026-0001</x:v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 t="str">
        <x:f>IF(P36="","",P36-TODAY())</x:f>
        <x:v/>
      </x:c>
      <x:c r="R36" s="36" t="str">
        <x:f>IF(E36="","",IF(X36="DUPLICATE","STOP — DUPLICATE",IF(OR(N36="Completed",N36="Cancelled",N36="Rejected",N36="Superseded"),"Closed",IF(P36="","No due date",IF(Q36&lt;0,"OVERDUE",IF(Q36&lt;=7,"DUE SOON","Open"))))))</x:f>
        <x:v>Closed</x:v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 t="str">
        <x:f>IF(E36="","",IF(COUNTIF($E$7:$E$506,E36)&gt;1,"DUPLICATE","OK"))</x:f>
        <x:v>OK</x:v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 t="str">
        <x:f>IF(OR(A37="",B37="",C37="",D37=""),"",A37&amp;"-"&amp;B37&amp;"-"&amp;TEXT(C37,"0000")&amp;"-"&amp;TEXT(D37,"0000"))</x:f>
        <x:v>NEX-PV-2026-0001</x:v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 t="str">
        <x:f>IF(P37="","",P37-TODAY())</x:f>
        <x:v/>
      </x:c>
      <x:c r="R37" s="36" t="str">
        <x:f>IF(E37="","",IF(X37="DUPLICATE","STOP — DUPLICATE",IF(OR(N37="Completed",N37="Cancelled",N37="Rejected",N37="Superseded"),"Closed",IF(P37="","No due date",IF(Q37&lt;0,"OVERDUE",IF(Q37&lt;=7,"DUE SOON","Open"))))))</x:f>
        <x:v>No due date</x:v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 t="str">
        <x:f>IF(E37="","",IF(COUNTIF($E$7:$E$506,E37)&gt;1,"DUPLICATE","OK"))</x:f>
        <x:v>OK</x:v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 t="str">
        <x:f>IF(OR(A38="",B38="",C38="",D38=""),"",A38&amp;"-"&amp;B38&amp;"-"&amp;TEXT(C38,"0000")&amp;"-"&amp;TEXT(D38,"0000"))</x:f>
        <x:v>NEX-PR-2026-0002</x:v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 t="str">
        <x:f>IF(P38="","",P38-TODAY())</x:f>
        <x:v/>
      </x:c>
      <x:c r="R38" s="36" t="str">
        <x:f>IF(E38="","",IF(X38="DUPLICATE","STOP — DUPLICATE",IF(OR(N38="Completed",N38="Cancelled",N38="Rejected",N38="Superseded"),"Closed",IF(P38="","No due date",IF(Q38&lt;0,"OVERDUE",IF(Q38&lt;=7,"DUE SOON","Open"))))))</x:f>
        <x:v>Closed</x:v>
      </x:c>
      <x:c r="S38" s="36"/>
      <x:c r="T38" s="36"/>
      <x:c r="U38" s="36"/>
      <x:c r="V38" s="42">
        <x:v>46277</x:v>
      </x:c>
      <x:c r="W38" s="36"/>
      <x:c r="X38" s="36" t="str">
        <x:f>IF(E38="","",IF(COUNTIF($E$7:$E$506,E38)&gt;1,"DUPLICATE","OK"))</x:f>
        <x:v>OK</x:v>
      </x:c>
    </x:row>
    <x:row r="39">
      <x:c r="A39" s="36" t="inlineStr">
        <x:is>
          <x:t>NEX</x:t>
        </x:is>
      </x:c>
      <x:c r="B39" s="36" t="inlineStr">
        <x:is>
          <x:t>PO</x:t>
        </x:is>
      </x:c>
      <x:c r="C39" s="38">
        <x:v>2026</x:v>
      </x:c>
      <x:c r="D39" s="38">
        <x:v>2</x:v>
      </x:c>
      <x:c r="E39" s="36" t="str">
        <x:f>IF(OR(A39="",B39="",C39="",D39=""),"",A39&amp;"-"&amp;B39&amp;"-"&amp;TEXT(C39,"0000")&amp;"-"&amp;TEXT(D39,"0000"))</x:f>
        <x:v>NEX-PO-2026-0002</x:v>
      </x:c>
      <x:c r="F39" s="36" t="inlineStr">
        <x:is>
          <x:t>R0</x:t>
        </x:is>
      </x:c>
      <x:c r="G39" s="40">
        <x:v>46277</x:v>
      </x:c>
      <x:c r="H39" s="40">
        <x:v>46277</x:v>
      </x:c>
      <x:c r="I39" s="36" t="inlineStr">
        <x:is>
          <x:t>Supplier</x:t>
        </x:is>
      </x:c>
      <x:c r="J39" s="36" t="inlineStr">
        <x:is>
          <x:t>TonerWorks</x:t>
        </x:is>
      </x:c>
      <x:c r="K39" s="36" t="inlineStr">
        <x:is>
          <x:t>Purchase order - toner cartridges</x:t>
        </x:is>
      </x:c>
      <x:c r="L39" s="44">
        <x:v>5400</x:v>
      </x:c>
      <x:c r="M39" s="36" t="inlineStr">
        <x:is>
          <x:t>MYR</x:t>
        </x:is>
      </x:c>
      <x:c r="N39" s="36" t="inlineStr">
        <x:is>
          <x:t>Issued</x:t>
        </x:is>
      </x:c>
      <x:c r="O39" s="36" t="inlineStr">
        <x:is>
          <x:t>Daniel T.</x:t>
        </x:is>
      </x:c>
      <x:c r="P39" s="40">
        <x:v>46310</x:v>
      </x:c>
      <x:c r="Q39" s="36">
        <x:f>IF(P39="","",P39-TODAY())</x:f>
        <x:v>10</x:v>
      </x:c>
      <x:c r="R39" s="36" t="str">
        <x:f>IF(E39="","",IF(X39="DUPLICATE","STOP — DUPLICATE",IF(OR(N39="Completed",N39="Cancelled",N39="Rejected",N39="Superseded"),"Closed",IF(P39="","No due date",IF(Q39&lt;0,"OVERDUE",IF(Q39&lt;=7,"DUE SOON","Open"))))))</x:f>
        <x:v>Open</x:v>
      </x:c>
      <x:c r="S39" s="36" t="inlineStr">
        <x:is>
          <x:t>NEX-PR-2026-0002</x:t>
        </x:is>
      </x:c>
      <x:c r="T39" s="36"/>
      <x:c r="U39" s="36"/>
      <x:c r="V39" s="42">
        <x:v>46277</x:v>
      </x:c>
      <x:c r="W39" s="36" t="inlineStr">
        <x:is>
          <x:t>Delivery expected 15 Oct</x:t>
        </x:is>
      </x:c>
      <x:c r="X39" s="36" t="str">
        <x:f>IF(E39="","",IF(COUNTIF($E$7:$E$506,E39)&gt;1,"DUPLICATE","OK"))</x:f>
        <x:v>OK</x:v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 t="str">
        <x:f>IF(OR(A40="",B40="",C40="",D40=""),"",A40&amp;"-"&amp;B40&amp;"-"&amp;TEXT(C40,"0000")&amp;"-"&amp;TEXT(D40,"0000"))</x:f>
        <x:v>NEX-GRN-2026-0002</x:v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 t="str">
        <x:f>IF(P40="","",P40-TODAY())</x:f>
        <x:v/>
      </x:c>
      <x:c r="R40" s="36" t="str">
        <x:f>IF(E40="","",IF(X40="DUPLICATE","STOP — DUPLICATE",IF(OR(N40="Completed",N40="Cancelled",N40="Rejected",N40="Superseded"),"Closed",IF(P40="","No due date",IF(Q40&lt;0,"OVERDUE",IF(Q40&lt;=7,"DUE SOON","Open"))))))</x:f>
        <x:v>Closed</x:v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 t="str">
        <x:f>IF(E40="","",IF(COUNTIF($E$7:$E$506,E40)&gt;1,"DUPLICATE","OK"))</x:f>
        <x:v>OK</x:v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 t="str">
        <x:f>IF(OR(A41="",B41="",C41="",D41=""),"",A41&amp;"-"&amp;B41&amp;"-"&amp;TEXT(C41,"0000")&amp;"-"&amp;TEXT(D41,"0000"))</x:f>
        <x:v>NEX-PR-2026-0003</x:v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 t="str">
        <x:f>IF(P41="","",P41-TODAY())</x:f>
        <x:v/>
      </x:c>
      <x:c r="R41" s="36" t="str">
        <x:f>IF(E41="","",IF(X41="DUPLICATE","STOP — DUPLICATE",IF(OR(N41="Completed",N41="Cancelled",N41="Rejected",N41="Superseded"),"Closed",IF(P41="","No due date",IF(Q41&lt;0,"OVERDUE",IF(Q41&lt;=7,"DUE SOON","Open"))))))</x:f>
        <x:v>No due date</x:v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 t="str">
        <x:f>IF(E41="","",IF(COUNTIF($E$7:$E$506,E41)&gt;1,"DUPLICATE","OK"))</x:f>
        <x:v>OK</x:v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 t="str">
        <x:f>IF(OR(A42="",B42="",C42="",D42=""),"",A42&amp;"-"&amp;B42&amp;"-"&amp;TEXT(C42,"0000")&amp;"-"&amp;TEXT(D42,"0000"))</x:f>
        <x:v>NEX-PO-2026-0003</x:v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 t="str">
        <x:f>IF(P42="","",P42-TODAY())</x:f>
        <x:v/>
      </x:c>
      <x:c r="R42" s="36" t="str">
        <x:f>IF(E42="","",IF(X42="DUPLICATE","STOP — DUPLICATE",IF(OR(N42="Completed",N42="Cancelled",N42="Rejected",N42="Superseded"),"Closed",IF(P42="","No due date",IF(Q42&lt;0,"OVERDUE",IF(Q42&lt;=7,"DUE SOON","Open"))))))</x:f>
        <x:v>No due date</x:v>
      </x:c>
      <x:c r="S42" s="36"/>
      <x:c r="T42" s="36"/>
      <x:c r="U42" s="36"/>
      <x:c r="V42" s="42">
        <x:v>46296</x:v>
      </x:c>
      <x:c r="W42" s="36"/>
      <x:c r="X42" s="36" t="str">
        <x:f>IF(E42="","",IF(COUNTIF($E$7:$E$506,E42)&gt;1,"DUPLICATE","OK"))</x:f>
        <x:v>OK</x:v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 t="str">
        <x:f>IF(OR(A43="",B43="",C43="",D43=""),"",A43&amp;"-"&amp;B43&amp;"-"&amp;TEXT(C43,"0000")&amp;"-"&amp;TEXT(D43,"0000"))</x:f>
        <x:v>NEX-SE-2026-0001</x:v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 t="str">
        <x:f>IF(P43="","",P43-TODAY())</x:f>
        <x:v/>
      </x:c>
      <x:c r="R43" s="36" t="str">
        <x:f>IF(E43="","",IF(X43="DUPLICATE","STOP — DUPLICATE",IF(OR(N43="Completed",N43="Cancelled",N43="Rejected",N43="Superseded"),"Closed",IF(P43="","No due date",IF(Q43&lt;0,"OVERDUE",IF(Q43&lt;=7,"DUE SOON","Open"))))))</x:f>
        <x:v>Closed</x:v>
      </x:c>
      <x:c r="S43" s="36"/>
      <x:c r="T43" s="36"/>
      <x:c r="U43" s="36"/>
      <x:c r="V43" s="42">
        <x:v>46295</x:v>
      </x:c>
      <x:c r="W43" s="36"/>
      <x:c r="X43" s="36" t="str">
        <x:f>IF(E43="","",IF(COUNTIF($E$7:$E$506,E43)&gt;1,"DUPLICATE","OK"))</x:f>
        <x:v>OK</x:v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 t="str">
        <x:f>IF(OR(A44="",B44="",C44="",D44=""),"",A44&amp;"-"&amp;B44&amp;"-"&amp;TEXT(C44,"0000")&amp;"-"&amp;TEXT(D44,"0000"))</x:f>
        <x:v>NEX-BR-2026-0001</x:v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 t="str">
        <x:f>IF(P44="","",P44-TODAY())</x:f>
        <x:v/>
      </x:c>
      <x:c r="R44" s="36" t="str">
        <x:f>IF(E44="","",IF(X44="DUPLICATE","STOP — DUPLICATE",IF(OR(N44="Completed",N44="Cancelled",N44="Rejected",N44="Superseded"),"Closed",IF(P44="","No due date",IF(Q44&lt;0,"OVERDUE",IF(Q44&lt;=7,"DUE SOON","Open"))))))</x:f>
        <x:v>Closed</x:v>
      </x:c>
      <x:c r="S44" s="36"/>
      <x:c r="T44" s="36"/>
      <x:c r="U44" s="36"/>
      <x:c r="V44" s="42">
        <x:v>46270</x:v>
      </x:c>
      <x:c r="W44" s="36"/>
      <x:c r="X44" s="36" t="str">
        <x:f>IF(E44="","",IF(COUNTIF($E$7:$E$506,E44)&gt;1,"DUPLICATE","OK"))</x:f>
        <x:v>OK</x:v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 t="str">
        <x:f>IF(OR(A45="",B45="",C45="",D45=""),"",A45&amp;"-"&amp;B45&amp;"-"&amp;TEXT(C45,"0000")&amp;"-"&amp;TEXT(D45,"0000"))</x:f>
        <x:v>NEX-BR-2026-0002</x:v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  <x:v>5</x:v>
      </x:c>
      <x:c r="R45" s="36" t="str">
        <x:f>IF(E45="","",IF(X45="DUPLICATE","STOP — DUPLICATE",IF(OR(N45="Completed",N45="Cancelled",N45="Rejected",N45="Superseded"),"Closed",IF(P45="","No due date",IF(Q45&lt;0,"OVERDUE",IF(Q45&lt;=7,"DUE SOON","Open"))))))</x:f>
        <x:v>DUE SOON</x:v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 t="str">
        <x:f>IF(E45="","",IF(COUNTIF($E$7:$E$506,E45)&gt;1,"DUPLICATE","OK"))</x:f>
        <x:v>OK</x:v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 t="str">
        <x:f>IF(OR(A46="",B46="",C46="",D46=""),"",A46&amp;"-"&amp;B46&amp;"-"&amp;TEXT(C46,"0000")&amp;"-"&amp;TEXT(D46,"0000"))</x:f>
        <x:v>NEX-EC-2026-0001</x:v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 t="str">
        <x:f>IF(P46="","",P46-TODAY())</x:f>
        <x:v/>
      </x:c>
      <x:c r="R46" s="36" t="str">
        <x:f>IF(E46="","",IF(X46="DUPLICATE","STOP — DUPLICATE",IF(OR(N46="Completed",N46="Cancelled",N46="Rejected",N46="Superseded"),"Closed",IF(P46="","No due date",IF(Q46&lt;0,"OVERDUE",IF(Q46&lt;=7,"DUE SOON","Open"))))))</x:f>
        <x:v>No due date</x:v>
      </x:c>
      <x:c r="S46" s="36"/>
      <x:c r="T46" s="36"/>
      <x:c r="U46" s="36"/>
      <x:c r="V46" s="42">
        <x:v>46292</x:v>
      </x:c>
      <x:c r="W46" s="36"/>
      <x:c r="X46" s="36" t="str">
        <x:f>IF(E46="","",IF(COUNTIF($E$7:$E$506,E46)&gt;1,"DUPLICATE","OK"))</x:f>
        <x:v>OK</x:v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 t="str">
        <x:f>IF(OR(A47="",B47="",C47="",D47=""),"",A47&amp;"-"&amp;B47&amp;"-"&amp;TEXT(C47,"0000")&amp;"-"&amp;TEXT(D47,"0000"))</x:f>
        <x:v>NEX-PCV-2026-0001</x:v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 t="str">
        <x:f>IF(P47="","",P47-TODAY())</x:f>
        <x:v/>
      </x:c>
      <x:c r="R47" s="36" t="str">
        <x:f>IF(E47="","",IF(X47="DUPLICATE","STOP — DUPLICATE",IF(OR(N47="Completed",N47="Cancelled",N47="Rejected",N47="Superseded"),"Closed",IF(P47="","No due date",IF(Q47&lt;0,"OVERDUE",IF(Q47&lt;=7,"DUE SOON","Open"))))))</x:f>
        <x:v>Closed</x:v>
      </x:c>
      <x:c r="S47" s="36"/>
      <x:c r="T47" s="36"/>
      <x:c r="U47" s="36"/>
      <x:c r="V47" s="42">
        <x:v>46283</x:v>
      </x:c>
      <x:c r="W47" s="36"/>
      <x:c r="X47" s="36" t="str">
        <x:f>IF(E47="","",IF(COUNTIF($E$7:$E$506,E47)&gt;1,"DUPLICATE","OK"))</x:f>
        <x:v>OK</x:v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 t="str">
        <x:f>IF(OR(A48="",B48="",C48="",D48=""),"",A48&amp;"-"&amp;B48&amp;"-"&amp;TEXT(C48,"0000")&amp;"-"&amp;TEXT(D48,"0000"))</x:f>
        <x:v>NEX-JV-2026-0001</x:v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 t="str">
        <x:f>IF(P48="","",P48-TODAY())</x:f>
        <x:v/>
      </x:c>
      <x:c r="R48" s="36" t="str">
        <x:f>IF(E48="","",IF(X48="DUPLICATE","STOP — DUPLICATE",IF(OR(N48="Completed",N48="Cancelled",N48="Rejected",N48="Superseded"),"Closed",IF(P48="","No due date",IF(Q48&lt;0,"OVERDUE",IF(Q48&lt;=7,"DUE SOON","Open"))))))</x:f>
        <x:v>No due date</x:v>
      </x:c>
      <x:c r="S48" s="36"/>
      <x:c r="T48" s="36"/>
      <x:c r="U48" s="36"/>
      <x:c r="V48" s="42">
        <x:v>46295</x:v>
      </x:c>
      <x:c r="W48" s="36"/>
      <x:c r="X48" s="36" t="str">
        <x:f>IF(E48="","",IF(COUNTIF($E$7:$E$506,E48)&gt;1,"DUPLICATE","OK"))</x:f>
        <x:v>OK</x:v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 t="str">
        <x:f>IF(OR(A49="",B49="",C49="",D49=""),"",A49&amp;"-"&amp;B49&amp;"-"&amp;TEXT(C49,"0000")&amp;"-"&amp;TEXT(D49,"0000"))</x:f>
        <x:v>NEX-EMP-2026-0001</x:v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 t="str">
        <x:f>IF(P49="","",P49-TODAY())</x:f>
        <x:v/>
      </x:c>
      <x:c r="R49" s="36" t="str">
        <x:f>IF(E49="","",IF(X49="DUPLICATE","STOP — DUPLICATE",IF(OR(N49="Completed",N49="Cancelled",N49="Rejected",N49="Superseded"),"Closed",IF(P49="","No due date",IF(Q49&lt;0,"OVERDUE",IF(Q49&lt;=7,"DUE SOON","Open"))))))</x:f>
        <x:v>No due date</x:v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 t="str">
        <x:f>IF(E49="","",IF(COUNTIF($E$7:$E$506,E49)&gt;1,"DUPLICATE","OK"))</x:f>
        <x:v>OK</x:v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 t="str">
        <x:f>IF(OR(A50="",B50="",C50="",D50=""),"",A50&amp;"-"&amp;B50&amp;"-"&amp;TEXT(C50,"0000")&amp;"-"&amp;TEXT(D50,"0000"))</x:f>
        <x:v>NEX-LV-2026-0001</x:v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 t="str">
        <x:f>IF(P50="","",P50-TODAY())</x:f>
        <x:v/>
      </x:c>
      <x:c r="R50" s="36" t="str">
        <x:f>IF(E50="","",IF(X50="DUPLICATE","STOP — DUPLICATE",IF(OR(N50="Completed",N50="Cancelled",N50="Rejected",N50="Superseded"),"Closed",IF(P50="","No due date",IF(Q50&lt;0,"OVERDUE",IF(Q50&lt;=7,"DUE SOON","Open"))))))</x:f>
        <x:v>No due date</x:v>
      </x:c>
      <x:c r="S50" s="36"/>
      <x:c r="T50" s="36"/>
      <x:c r="U50" s="36"/>
      <x:c r="V50" s="42">
        <x:v>46286</x:v>
      </x:c>
      <x:c r="W50" s="36"/>
      <x:c r="X50" s="36" t="str">
        <x:f>IF(E50="","",IF(COUNTIF($E$7:$E$506,E50)&gt;1,"DUPLICATE","OK"))</x:f>
        <x:v>OK</x:v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 t="str">
        <x:f>IF(OR(A51="",B51="",C51="",D51=""),"",A51&amp;"-"&amp;B51&amp;"-"&amp;TEXT(C51,"0000")&amp;"-"&amp;TEXT(D51,"0000"))</x:f>
        <x:v>NEX-LV-2026-0002</x:v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 t="str">
        <x:f>IF(P51="","",P51-TODAY())</x:f>
        <x:v/>
      </x:c>
      <x:c r="R51" s="36" t="str">
        <x:f>IF(E51="","",IF(X51="DUPLICATE","STOP — DUPLICATE",IF(OR(N51="Completed",N51="Cancelled",N51="Rejected",N51="Superseded"),"Closed",IF(P51="","No due date",IF(Q51&lt;0,"OVERDUE",IF(Q51&lt;=7,"DUE SOON","Open"))))))</x:f>
        <x:v>No due date</x:v>
      </x:c>
      <x:c r="S51" s="36"/>
      <x:c r="T51" s="36"/>
      <x:c r="U51" s="36"/>
      <x:c r="V51" s="42">
        <x:v>46296</x:v>
      </x:c>
      <x:c r="W51" s="36"/>
      <x:c r="X51" s="36" t="str">
        <x:f>IF(E51="","",IF(COUNTIF($E$7:$E$506,E51)&gt;1,"DUPLICATE","OK"))</x:f>
        <x:v>OK</x:v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 t="str">
        <x:f>IF(OR(A52="",B52="",C52="",D52=""),"",A52&amp;"-"&amp;B52&amp;"-"&amp;TEXT(C52,"0000")&amp;"-"&amp;TEXT(D52,"0000"))</x:f>
        <x:v>NEX-TS-2026-0001</x:v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 t="str">
        <x:f>IF(P52="","",P52-TODAY())</x:f>
        <x:v/>
      </x:c>
      <x:c r="R52" s="36" t="str">
        <x:f>IF(E52="","",IF(X52="DUPLICATE","STOP — DUPLICATE",IF(OR(N52="Completed",N52="Cancelled",N52="Rejected",N52="Superseded"),"Closed",IF(P52="","No due date",IF(Q52&lt;0,"OVERDUE",IF(Q52&lt;=7,"DUE SOON","Open"))))))</x:f>
        <x:v>Closed</x:v>
      </x:c>
      <x:c r="S52" s="36"/>
      <x:c r="T52" s="36"/>
      <x:c r="U52" s="36"/>
      <x:c r="V52" s="42">
        <x:v>46296</x:v>
      </x:c>
      <x:c r="W52" s="36"/>
      <x:c r="X52" s="36" t="str">
        <x:f>IF(E52="","",IF(COUNTIF($E$7:$E$506,E52)&gt;1,"DUPLICATE","OK"))</x:f>
        <x:v>OK</x:v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 t="str">
        <x:f>IF(OR(A53="",B53="",C53="",D53=""),"",A53&amp;"-"&amp;B53&amp;"-"&amp;TEXT(C53,"0000")&amp;"-"&amp;TEXT(D53,"0000"))</x:f>
        <x:v>NEX-OT-2026-0001</x:v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 t="str">
        <x:f>IF(P53="","",P53-TODAY())</x:f>
        <x:v/>
      </x:c>
      <x:c r="R53" s="36" t="str">
        <x:f>IF(E53="","",IF(X53="DUPLICATE","STOP — DUPLICATE",IF(OR(N53="Completed",N53="Cancelled",N53="Rejected",N53="Superseded"),"Closed",IF(P53="","No due date",IF(Q53&lt;0,"OVERDUE",IF(Q53&lt;=7,"DUE SOON","Open"))))))</x:f>
        <x:v>No due date</x:v>
      </x:c>
      <x:c r="S53" s="36"/>
      <x:c r="T53" s="36"/>
      <x:c r="U53" s="36"/>
      <x:c r="V53" s="42">
        <x:v>46291</x:v>
      </x:c>
      <x:c r="W53" s="36"/>
      <x:c r="X53" s="36" t="str">
        <x:f>IF(E53="","",IF(COUNTIF($E$7:$E$506,E53)&gt;1,"DUPLICATE","OK"))</x:f>
        <x:v>OK</x:v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 t="str">
        <x:f>IF(OR(A54="",B54="",C54="",D54=""),"",A54&amp;"-"&amp;B54&amp;"-"&amp;TEXT(C54,"0000")&amp;"-"&amp;TEXT(D54,"0000"))</x:f>
        <x:v>NEX-EXIT-2026-0001</x:v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  <x:v>26</x:v>
      </x:c>
      <x:c r="R54" s="36" t="str">
        <x:f>IF(E54="","",IF(X54="DUPLICATE","STOP — DUPLICATE",IF(OR(N54="Completed",N54="Cancelled",N54="Rejected",N54="Superseded"),"Closed",IF(P54="","No due date",IF(Q54&lt;0,"OVERDUE",IF(Q54&lt;=7,"DUE SOON","Open"))))))</x:f>
        <x:v>Open</x:v>
      </x:c>
      <x:c r="S54" s="36"/>
      <x:c r="T54" s="36"/>
      <x:c r="U54" s="36"/>
      <x:c r="V54" s="42">
        <x:v>46297</x:v>
      </x:c>
      <x:c r="W54" s="36"/>
      <x:c r="X54" s="36" t="str">
        <x:f>IF(E54="","",IF(COUNTIF($E$7:$E$506,E54)&gt;1,"DUPLICATE","OK"))</x:f>
        <x:v>OK</x:v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 t="str">
        <x:f>IF(OR(A55="",B55="",C55="",D55=""),"",A55&amp;"-"&amp;B55&amp;"-"&amp;TEXT(C55,"0000")&amp;"-"&amp;TEXT(D55,"0000"))</x:f>
        <x:v>NEX-SI-2026-0001</x:v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 t="str">
        <x:f>IF(P55="","",P55-TODAY())</x:f>
        <x:v/>
      </x:c>
      <x:c r="R55" s="36" t="str">
        <x:f>IF(E55="","",IF(X55="DUPLICATE","STOP — DUPLICATE",IF(OR(N55="Completed",N55="Cancelled",N55="Rejected",N55="Superseded"),"Closed",IF(P55="","No due date",IF(Q55&lt;0,"OVERDUE",IF(Q55&lt;=7,"DUE SOON","Open"))))))</x:f>
        <x:v>Closed</x:v>
      </x:c>
      <x:c r="S55" s="36"/>
      <x:c r="T55" s="36"/>
      <x:c r="U55" s="36"/>
      <x:c r="V55" s="42">
        <x:v>46273</x:v>
      </x:c>
      <x:c r="W55" s="36"/>
      <x:c r="X55" s="36" t="str">
        <x:f>IF(E55="","",IF(COUNTIF($E$7:$E$506,E55)&gt;1,"DUPLICATE","OK"))</x:f>
        <x:v>OK</x:v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 t="str">
        <x:f>IF(OR(A56="",B56="",C56="",D56=""),"",A56&amp;"-"&amp;B56&amp;"-"&amp;TEXT(C56,"0000")&amp;"-"&amp;TEXT(D56,"0000"))</x:f>
        <x:v>NEX-ST-2026-0001</x:v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 t="str">
        <x:f>IF(P56="","",P56-TODAY())</x:f>
        <x:v/>
      </x:c>
      <x:c r="R56" s="36" t="str">
        <x:f>IF(E56="","",IF(X56="DUPLICATE","STOP — DUPLICATE",IF(OR(N56="Completed",N56="Cancelled",N56="Rejected",N56="Superseded"),"Closed",IF(P56="","No due date",IF(Q56&lt;0,"OVERDUE",IF(Q56&lt;=7,"DUE SOON","Open"))))))</x:f>
        <x:v>Closed</x:v>
      </x:c>
      <x:c r="S56" s="36"/>
      <x:c r="T56" s="36"/>
      <x:c r="U56" s="36"/>
      <x:c r="V56" s="42">
        <x:v>46279</x:v>
      </x:c>
      <x:c r="W56" s="36"/>
      <x:c r="X56" s="36" t="str">
        <x:f>IF(E56="","",IF(COUNTIF($E$7:$E$506,E56)&gt;1,"DUPLICATE","OK"))</x:f>
        <x:v>OK</x:v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 t="str">
        <x:f>IF(OR(A57="",B57="",C57="",D57=""),"",A57&amp;"-"&amp;B57&amp;"-"&amp;TEXT(C57,"0000")&amp;"-"&amp;TEXT(D57,"0000"))</x:f>
        <x:v>NEX-SA-2026-0001</x:v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 t="str">
        <x:f>IF(P57="","",P57-TODAY())</x:f>
        <x:v/>
      </x:c>
      <x:c r="R57" s="36" t="str">
        <x:f>IF(E57="","",IF(X57="DUPLICATE","STOP — DUPLICATE",IF(OR(N57="Completed",N57="Cancelled",N57="Rejected",N57="Superseded"),"Closed",IF(P57="","No due date",IF(Q57&lt;0,"OVERDUE",IF(Q57&lt;=7,"DUE SOON","Open"))))))</x:f>
        <x:v>No due date</x:v>
      </x:c>
      <x:c r="S57" s="36"/>
      <x:c r="T57" s="36"/>
      <x:c r="U57" s="36"/>
      <x:c r="V57" s="42">
        <x:v>46294</x:v>
      </x:c>
      <x:c r="W57" s="36"/>
      <x:c r="X57" s="36" t="str">
        <x:f>IF(E57="","",IF(COUNTIF($E$7:$E$506,E57)&gt;1,"DUPLICATE","OK"))</x:f>
        <x:v>OK</x:v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 t="str">
        <x:f>IF(OR(A58="",B58="",C58="",D58=""),"",A58&amp;"-"&amp;B58&amp;"-"&amp;TEXT(C58,"0000")&amp;"-"&amp;TEXT(D58,"0000"))</x:f>
        <x:v>NEX-SCV-2026-0001</x:v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 t="str">
        <x:f>IF(P58="","",P58-TODAY())</x:f>
        <x:v/>
      </x:c>
      <x:c r="R58" s="36" t="str">
        <x:f>IF(E58="","",IF(X58="DUPLICATE","STOP — DUPLICATE",IF(OR(N58="Completed",N58="Cancelled",N58="Rejected",N58="Superseded"),"Closed",IF(P58="","No due date",IF(Q58&lt;0,"OVERDUE",IF(Q58&lt;=7,"DUE SOON","Open"))))))</x:f>
        <x:v>Closed</x:v>
      </x:c>
      <x:c r="S58" s="36"/>
      <x:c r="T58" s="36"/>
      <x:c r="U58" s="36"/>
      <x:c r="V58" s="42">
        <x:v>46295</x:v>
      </x:c>
      <x:c r="W58" s="36"/>
      <x:c r="X58" s="36" t="str">
        <x:f>IF(E58="","",IF(COUNTIF($E$7:$E$506,E58)&gt;1,"DUPLICATE","OK"))</x:f>
        <x:v>OK</x:v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 t="str">
        <x:f>IF(OR(A59="",B59="",C59="",D59=""),"",A59&amp;"-"&amp;B59&amp;"-"&amp;TEXT(C59,"0000")&amp;"-"&amp;TEXT(D59,"0000"))</x:f>
        <x:v>NEX-NDA-2026-0001</x:v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  <x:v>87</x:v>
      </x:c>
      <x:c r="R59" s="36" t="str">
        <x:f>IF(E59="","",IF(X59="DUPLICATE","STOP — DUPLICATE",IF(OR(N59="Completed",N59="Cancelled",N59="Rejected",N59="Superseded"),"Closed",IF(P59="","No due date",IF(Q59&lt;0,"OVERDUE",IF(Q59&lt;=7,"DUE SOON","Open"))))))</x:f>
        <x:v>Open</x:v>
      </x:c>
      <x:c r="S59" s="36"/>
      <x:c r="T59" s="36"/>
      <x:c r="U59" s="36"/>
      <x:c r="V59" s="42">
        <x:v>46205</x:v>
      </x:c>
      <x:c r="W59" s="36"/>
      <x:c r="X59" s="36" t="str">
        <x:f>IF(E59="","",IF(COUNTIF($E$7:$E$506,E59)&gt;1,"DUPLICATE","OK"))</x:f>
        <x:v>OK</x:v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 t="str">
        <x:f>IF(OR(A60="",B60="",C60="",D60=""),"",A60&amp;"-"&amp;B60&amp;"-"&amp;TEXT(C60,"0000")&amp;"-"&amp;TEXT(D60,"0000"))</x:f>
        <x:v>NEX-AGR-2026-0001</x:v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  <x:v>26</x:v>
      </x:c>
      <x:c r="R60" s="36" t="str">
        <x:f>IF(E60="","",IF(X60="DUPLICATE","STOP — DUPLICATE",IF(OR(N60="Completed",N60="Cancelled",N60="Rejected",N60="Superseded"),"Closed",IF(P60="","No due date",IF(Q60&lt;0,"OVERDUE",IF(Q60&lt;=7,"DUE SOON","Open"))))))</x:f>
        <x:v>Open</x:v>
      </x:c>
      <x:c r="S60" s="36"/>
      <x:c r="T60" s="36"/>
      <x:c r="U60" s="36"/>
      <x:c r="V60" s="42">
        <x:v>46281</x:v>
      </x:c>
      <x:c r="W60" s="36"/>
      <x:c r="X60" s="36" t="str">
        <x:f>IF(E60="","",IF(COUNTIF($E$7:$E$506,E60)&gt;1,"DUPLICATE","OK"))</x:f>
        <x:v>OK</x:v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 t="str">
        <x:f>IF(OR(A61="",B61="",C61="",D61=""),"",A61&amp;"-"&amp;B61&amp;"-"&amp;TEXT(C61,"0000")&amp;"-"&amp;TEXT(D61,"0000"))</x:f>
        <x:v>NEX-MIN-2026-0001</x:v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 t="str">
        <x:f>IF(P61="","",P61-TODAY())</x:f>
        <x:v/>
      </x:c>
      <x:c r="R61" s="36" t="str">
        <x:f>IF(E61="","",IF(X61="DUPLICATE","STOP — DUPLICATE",IF(OR(N61="Completed",N61="Cancelled",N61="Rejected",N61="Superseded"),"Closed",IF(P61="","No due date",IF(Q61&lt;0,"OVERDUE",IF(Q61&lt;=7,"DUE SOON","Open"))))))</x:f>
        <x:v>Closed</x:v>
      </x:c>
      <x:c r="S61" s="36"/>
      <x:c r="T61" s="36"/>
      <x:c r="U61" s="36"/>
      <x:c r="V61" s="42">
        <x:v>46295</x:v>
      </x:c>
      <x:c r="W61" s="36"/>
      <x:c r="X61" s="36" t="str">
        <x:f>IF(E61="","",IF(COUNTIF($E$7:$E$506,E61)&gt;1,"DUPLICATE","OK"))</x:f>
        <x:v>OK</x:v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 t="str">
        <x:f>IF(OR(A62="",B62="",C62="",D62=""),"",A62&amp;"-"&amp;B62&amp;"-"&amp;TEXT(C62,"0000")&amp;"-"&amp;TEXT(D62,"0000"))</x:f>
        <x:v>NEX-DEC-2026-0001</x:v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 t="str">
        <x:f>IF(P62="","",P62-TODAY())</x:f>
        <x:v/>
      </x:c>
      <x:c r="R62" s="36" t="str">
        <x:f>IF(E62="","",IF(X62="DUPLICATE","STOP — DUPLICATE",IF(OR(N62="Completed",N62="Cancelled",N62="Rejected",N62="Superseded"),"Closed",IF(P62="","No due date",IF(Q62&lt;0,"OVERDUE",IF(Q62&lt;=7,"DUE SOON","Open"))))))</x:f>
        <x:v>Closed</x:v>
      </x:c>
      <x:c r="S62" s="36"/>
      <x:c r="T62" s="36"/>
      <x:c r="U62" s="36"/>
      <x:c r="V62" s="42">
        <x:v>46295</x:v>
      </x:c>
      <x:c r="W62" s="36"/>
      <x:c r="X62" s="36" t="str">
        <x:f>IF(E62="","",IF(COUNTIF($E$7:$E$506,E62)&gt;1,"DUPLICATE","OK"))</x:f>
        <x:v>OK</x:v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 t="str">
        <x:f>IF(OR(A63="",B63="",C63="",D63=""),"",A63&amp;"-"&amp;B63&amp;"-"&amp;TEXT(C63,"0000")&amp;"-"&amp;TEXT(D63,"0000"))</x:f>
        <x:v>NEX-INC-2026-0001</x:v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  <x:v>4</x:v>
      </x:c>
      <x:c r="R63" s="36" t="str">
        <x:f>IF(E63="","",IF(X63="DUPLICATE","STOP — DUPLICATE",IF(OR(N63="Completed",N63="Cancelled",N63="Rejected",N63="Superseded"),"Closed",IF(P63="","No due date",IF(Q63&lt;0,"OVERDUE",IF(Q63&lt;=7,"DUE SOON","Open"))))))</x:f>
        <x:v>DUE SOON</x:v>
      </x:c>
      <x:c r="S63" s="36"/>
      <x:c r="T63" s="36"/>
      <x:c r="U63" s="36"/>
      <x:c r="V63" s="42">
        <x:v>46299</x:v>
      </x:c>
      <x:c r="W63" s="36"/>
      <x:c r="X63" s="36" t="str">
        <x:f>IF(E63="","",IF(COUNTIF($E$7:$E$506,E63)&gt;1,"DUPLICATE","OK"))</x:f>
        <x:v>OK</x:v>
      </x:c>
    </x:row>
    <x:row r="64">
      <x:c r="A64" s="36" t="str">
        <x:v>NEX</x:v>
      </x:c>
      <x:c r="B64" s="36"/>
      <x:c r="C64" s="38"/>
      <x:c r="D64" s="38"/>
      <x:c r="E64" s="36" t="str">
        <x:f>IF(OR(A64="",B64="",C64="",D64=""),"",A64&amp;"-"&amp;B64&amp;"-"&amp;TEXT(C64,"0000")&amp;"-"&amp;TEXT(D64,"0000"))</x:f>
      </x:c>
      <x:c r="F64" s="36" t="str">
        <x:v>R0</x:v>
      </x:c>
      <x:c r="G64" s="40"/>
      <x:c r="H64" s="40"/>
      <x:c r="I64" s="36"/>
      <x:c r="J64" s="36"/>
      <x:c r="K64" s="36"/>
      <x:c r="L64" s="44"/>
      <x:c r="M64" s="36" t="str">
        <x:v>MYR</x:v>
      </x:c>
      <x:c r="N64" s="36"/>
      <x:c r="O64" s="36"/>
      <x:c r="P64" s="40"/>
      <x:c r="Q64" s="36" t="str">
        <x:f>IF(P64="","",P64-TODAY())</x:f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</x:c>
      <x:c r="S64" s="36"/>
      <x:c r="T64" s="36"/>
      <x:c r="U64" s="36"/>
      <x:c r="V64" s="42"/>
      <x:c r="W64" s="36"/>
      <x:c r="X64" s="36" t="str">
        <x:f>IF(E64="","",IF(COUNTIF($E$7:$E$506,E64)&gt;1,"DUPLICATE","OK"))</x:f>
      </x:c>
    </x:row>
    <x:row r="65">
      <x:c r="A65" s="36" t="str">
        <x:v>NEX</x:v>
      </x:c>
      <x:c r="B65" s="36"/>
      <x:c r="C65" s="38"/>
      <x:c r="D65" s="38"/>
      <x:c r="E65" s="36" t="str">
        <x:f>IF(OR(A65="",B65="",C65="",D65=""),"",A65&amp;"-"&amp;B65&amp;"-"&amp;TEXT(C65,"0000")&amp;"-"&amp;TEXT(D65,"0000"))</x:f>
      </x:c>
      <x:c r="F65" s="36" t="str">
        <x:v>R0</x:v>
      </x:c>
      <x:c r="G65" s="40"/>
      <x:c r="H65" s="40"/>
      <x:c r="I65" s="36"/>
      <x:c r="J65" s="36"/>
      <x:c r="K65" s="36"/>
      <x:c r="L65" s="44"/>
      <x:c r="M65" s="36" t="str">
        <x:v>MYR</x:v>
      </x:c>
      <x:c r="N65" s="36"/>
      <x:c r="O65" s="36"/>
      <x:c r="P65" s="40"/>
      <x:c r="Q65" s="36" t="str">
        <x:f>IF(P65="","",P65-TODAY())</x:f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</x:c>
      <x:c r="S65" s="36"/>
      <x:c r="T65" s="36"/>
      <x:c r="U65" s="36"/>
      <x:c r="V65" s="42"/>
      <x:c r="W65" s="36"/>
      <x:c r="X65" s="36" t="str">
        <x:f>IF(E65="","",IF(COUNTIF($E$7:$E$506,E65)&gt;1,"DUPLICATE","OK"))</x:f>
      </x:c>
    </x:row>
    <x:row r="66">
      <x:c r="A66" s="36" t="str">
        <x:v>NEX</x:v>
      </x:c>
      <x:c r="B66" s="36"/>
      <x:c r="C66" s="38"/>
      <x:c r="D66" s="38"/>
      <x:c r="E66" s="36" t="str">
        <x:f>IF(OR(A66="",B66="",C66="",D66=""),"",A66&amp;"-"&amp;B66&amp;"-"&amp;TEXT(C66,"0000")&amp;"-"&amp;TEXT(D66,"0000"))</x:f>
      </x:c>
      <x:c r="F66" s="36" t="str">
        <x:v>R0</x:v>
      </x:c>
      <x:c r="G66" s="40"/>
      <x:c r="H66" s="40"/>
      <x:c r="I66" s="36"/>
      <x:c r="J66" s="36"/>
      <x:c r="K66" s="36"/>
      <x:c r="L66" s="44"/>
      <x:c r="M66" s="36" t="str">
        <x:v>MYR</x:v>
      </x:c>
      <x:c r="N66" s="36"/>
      <x:c r="O66" s="36"/>
      <x:c r="P66" s="40"/>
      <x:c r="Q66" s="36" t="str">
        <x:f>IF(P66="","",P66-TODAY())</x:f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</x:c>
      <x:c r="S66" s="36"/>
      <x:c r="T66" s="36"/>
      <x:c r="U66" s="36"/>
      <x:c r="V66" s="42"/>
      <x:c r="W66" s="36"/>
      <x:c r="X66" s="36" t="str">
        <x:f>IF(E66="","",IF(COUNTIF($E$7:$E$506,E66)&gt;1,"DUPLICATE","OK"))</x:f>
      </x:c>
    </x:row>
    <x:row r="67">
      <x:c r="A67" s="36" t="str">
        <x:v>NEX</x:v>
      </x:c>
      <x:c r="B67" s="36"/>
      <x:c r="C67" s="38"/>
      <x:c r="D67" s="38"/>
      <x:c r="E67" s="36" t="str">
        <x:f>IF(OR(A67="",B67="",C67="",D67=""),"",A67&amp;"-"&amp;B67&amp;"-"&amp;TEXT(C67,"0000")&amp;"-"&amp;TEXT(D67,"0000"))</x:f>
      </x:c>
      <x:c r="F67" s="36" t="str">
        <x:v>R0</x:v>
      </x:c>
      <x:c r="G67" s="40"/>
      <x:c r="H67" s="40"/>
      <x:c r="I67" s="36"/>
      <x:c r="J67" s="36"/>
      <x:c r="K67" s="36"/>
      <x:c r="L67" s="44"/>
      <x:c r="M67" s="36" t="str">
        <x:v>MYR</x:v>
      </x:c>
      <x:c r="N67" s="36"/>
      <x:c r="O67" s="36"/>
      <x:c r="P67" s="40"/>
      <x:c r="Q67" s="36" t="str">
        <x:f>IF(P67="","",P67-TODAY())</x:f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</x:c>
      <x:c r="S67" s="36"/>
      <x:c r="T67" s="36"/>
      <x:c r="U67" s="36"/>
      <x:c r="V67" s="42"/>
      <x:c r="W67" s="36"/>
      <x:c r="X67" s="36" t="str">
        <x:f>IF(E67="","",IF(COUNTIF($E$7:$E$506,E67)&gt;1,"DUPLICATE","OK"))</x:f>
      </x:c>
    </x:row>
    <x:row r="68">
      <x:c r="A68" s="36" t="str">
        <x:v>NEX</x:v>
      </x:c>
      <x:c r="B68" s="36"/>
      <x:c r="C68" s="38"/>
      <x:c r="D68" s="38"/>
      <x:c r="E68" s="36" t="str">
        <x:f>IF(OR(A68="",B68="",C68="",D68=""),"",A68&amp;"-"&amp;B68&amp;"-"&amp;TEXT(C68,"0000")&amp;"-"&amp;TEXT(D68,"0000"))</x:f>
      </x:c>
      <x:c r="F68" s="36" t="str">
        <x:v>R0</x:v>
      </x:c>
      <x:c r="G68" s="40"/>
      <x:c r="H68" s="40"/>
      <x:c r="I68" s="36"/>
      <x:c r="J68" s="36"/>
      <x:c r="K68" s="36"/>
      <x:c r="L68" s="44"/>
      <x:c r="M68" s="36" t="str">
        <x:v>MYR</x:v>
      </x:c>
      <x:c r="N68" s="36"/>
      <x:c r="O68" s="36"/>
      <x:c r="P68" s="40"/>
      <x:c r="Q68" s="36" t="str">
        <x:f>IF(P68="","",P68-TODAY())</x:f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</x:c>
      <x:c r="S68" s="36"/>
      <x:c r="T68" s="36"/>
      <x:c r="U68" s="36"/>
      <x:c r="V68" s="42"/>
      <x:c r="W68" s="36"/>
      <x:c r="X68" s="36" t="str">
        <x:f>IF(E68="","",IF(COUNTIF($E$7:$E$506,E68)&gt;1,"DUPLICATE","OK"))</x:f>
      </x:c>
    </x:row>
    <x:row r="69">
      <x:c r="A69" s="36" t="str">
        <x:v>NEX</x:v>
      </x:c>
      <x:c r="B69" s="36"/>
      <x:c r="C69" s="38"/>
      <x:c r="D69" s="38"/>
      <x:c r="E69" s="36" t="str">
        <x:f>IF(OR(A69="",B69="",C69="",D69=""),"",A69&amp;"-"&amp;B69&amp;"-"&amp;TEXT(C69,"0000")&amp;"-"&amp;TEXT(D69,"0000"))</x:f>
      </x:c>
      <x:c r="F69" s="36" t="str">
        <x:v>R0</x:v>
      </x:c>
      <x:c r="G69" s="40"/>
      <x:c r="H69" s="40"/>
      <x:c r="I69" s="36"/>
      <x:c r="J69" s="36"/>
      <x:c r="K69" s="36"/>
      <x:c r="L69" s="44"/>
      <x:c r="M69" s="36" t="str">
        <x:v>MYR</x:v>
      </x:c>
      <x:c r="N69" s="36"/>
      <x:c r="O69" s="36"/>
      <x:c r="P69" s="40"/>
      <x:c r="Q69" s="36" t="str">
        <x:f>IF(P69="","",P69-TODAY())</x:f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</x:c>
      <x:c r="S69" s="36"/>
      <x:c r="T69" s="36"/>
      <x:c r="U69" s="36"/>
      <x:c r="V69" s="42"/>
      <x:c r="W69" s="36"/>
      <x:c r="X69" s="36" t="str">
        <x:f>IF(E69="","",IF(COUNTIF($E$7:$E$506,E69)&gt;1,"DUPLICATE","OK"))</x:f>
      </x:c>
    </x:row>
    <x:row r="70">
      <x:c r="A70" s="36" t="str">
        <x:v>NEX</x:v>
      </x:c>
      <x:c r="B70" s="36"/>
      <x:c r="C70" s="38"/>
      <x:c r="D70" s="38"/>
      <x:c r="E70" s="36" t="str">
        <x:f>IF(OR(A70="",B70="",C70="",D70=""),"",A70&amp;"-"&amp;B70&amp;"-"&amp;TEXT(C70,"0000")&amp;"-"&amp;TEXT(D70,"0000"))</x:f>
      </x:c>
      <x:c r="F70" s="36" t="str">
        <x:v>R0</x:v>
      </x:c>
      <x:c r="G70" s="40"/>
      <x:c r="H70" s="40"/>
      <x:c r="I70" s="36"/>
      <x:c r="J70" s="36"/>
      <x:c r="K70" s="36"/>
      <x:c r="L70" s="44"/>
      <x:c r="M70" s="36" t="str">
        <x:v>MYR</x:v>
      </x:c>
      <x:c r="N70" s="36"/>
      <x:c r="O70" s="36"/>
      <x:c r="P70" s="40"/>
      <x:c r="Q70" s="36" t="str">
        <x:f>IF(P70="","",P70-TODAY())</x:f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</x:c>
      <x:c r="S70" s="36"/>
      <x:c r="T70" s="36"/>
      <x:c r="U70" s="36"/>
      <x:c r="V70" s="42"/>
      <x:c r="W70" s="36"/>
      <x:c r="X70" s="36" t="str">
        <x:f>IF(E70="","",IF(COUNTIF($E$7:$E$506,E70)&gt;1,"DUPLICATE","OK"))</x:f>
      </x:c>
    </x:row>
    <x:row r="71">
      <x:c r="A71" s="36" t="str">
        <x:v>NEX</x:v>
      </x:c>
      <x:c r="B71" s="36"/>
      <x:c r="C71" s="38"/>
      <x:c r="D71" s="38"/>
      <x:c r="E71" s="36" t="str">
        <x:f>IF(OR(A71="",B71="",C71="",D71=""),"",A71&amp;"-"&amp;B71&amp;"-"&amp;TEXT(C71,"0000")&amp;"-"&amp;TEXT(D71,"0000"))</x:f>
      </x:c>
      <x:c r="F71" s="36" t="str">
        <x:v>R0</x:v>
      </x:c>
      <x:c r="G71" s="40"/>
      <x:c r="H71" s="40"/>
      <x:c r="I71" s="36"/>
      <x:c r="J71" s="36"/>
      <x:c r="K71" s="36"/>
      <x:c r="L71" s="44"/>
      <x:c r="M71" s="36" t="str">
        <x:v>MYR</x:v>
      </x:c>
      <x:c r="N71" s="36"/>
      <x:c r="O71" s="36"/>
      <x:c r="P71" s="40"/>
      <x:c r="Q71" s="36" t="str">
        <x:f>IF(P71="","",P71-TODAY())</x:f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</x:c>
      <x:c r="S71" s="36"/>
      <x:c r="T71" s="36"/>
      <x:c r="U71" s="36"/>
      <x:c r="V71" s="42"/>
      <x:c r="W71" s="36"/>
      <x:c r="X71" s="36" t="str">
        <x:f>IF(E71="","",IF(COUNTIF($E$7:$E$506,E71)&gt;1,"DUPLICATE","OK"))</x:f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